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3"/>
  <workbookPr defaultThemeVersion="124226"/>
  <mc:AlternateContent xmlns:mc="http://schemas.openxmlformats.org/markup-compatibility/2006">
    <mc:Choice Requires="x15">
      <x15ac:absPath xmlns:x15ac="http://schemas.microsoft.com/office/spreadsheetml/2010/11/ac" url="S:\admin\ADMINFIN\RAS PHN Templates\Subcontract and Independent Contractor Information\02 International Subcontracts_Emory is the Prime\"/>
    </mc:Choice>
  </mc:AlternateContent>
  <xr:revisionPtr revIDLastSave="0" documentId="13_ncr:1_{67F9184B-5E8B-489C-BC87-CAB6E4C69209}" xr6:coauthVersionLast="36" xr6:coauthVersionMax="36" xr10:uidLastSave="{00000000-0000-0000-0000-000000000000}"/>
  <bookViews>
    <workbookView xWindow="0" yWindow="0" windowWidth="28800" windowHeight="10035" xr2:uid="{00000000-000D-0000-FFFF-FFFF00000000}"/>
  </bookViews>
  <sheets>
    <sheet name="GUIDELINES" sheetId="6" r:id="rId1"/>
    <sheet name="BUDGET" sheetId="1" r:id="rId2"/>
    <sheet name="SALARY" sheetId="2" r:id="rId3"/>
    <sheet name="EQUIPMENT " sheetId="7" r:id="rId4"/>
    <sheet name="SUPPLY " sheetId="12" r:id="rId5"/>
    <sheet name="PATIENT CARE" sheetId="4" r:id="rId6"/>
    <sheet name="SUB-AWARD" sheetId="3" r:id="rId7"/>
  </sheets>
  <calcPr calcId="191029"/>
</workbook>
</file>

<file path=xl/calcChain.xml><?xml version="1.0" encoding="utf-8"?>
<calcChain xmlns="http://schemas.openxmlformats.org/spreadsheetml/2006/main">
  <c r="E9" i="1" l="1"/>
  <c r="D6" i="2" l="1"/>
  <c r="G6" i="2"/>
  <c r="G7" i="2"/>
  <c r="V27" i="1" l="1"/>
  <c r="Z27" i="1" l="1"/>
  <c r="D17" i="2"/>
  <c r="D16" i="2"/>
  <c r="D14" i="2"/>
  <c r="D13" i="2"/>
  <c r="D12" i="2"/>
  <c r="D11" i="2"/>
  <c r="D10" i="2"/>
  <c r="H4" i="3" l="1"/>
  <c r="J24" i="2" l="1"/>
  <c r="N24" i="2" s="1"/>
  <c r="R24" i="2" s="1"/>
  <c r="V24" i="2" s="1"/>
  <c r="J11" i="2"/>
  <c r="N11" i="2" s="1"/>
  <c r="R11" i="2" s="1"/>
  <c r="V11" i="2" s="1"/>
  <c r="J12" i="2"/>
  <c r="N12" i="2" s="1"/>
  <c r="R12" i="2" s="1"/>
  <c r="V12" i="2" s="1"/>
  <c r="J13" i="2"/>
  <c r="N13" i="2" s="1"/>
  <c r="R13" i="2" s="1"/>
  <c r="V13" i="2" s="1"/>
  <c r="J14" i="2"/>
  <c r="N14" i="2" s="1"/>
  <c r="R14" i="2" s="1"/>
  <c r="V14" i="2" s="1"/>
  <c r="R15" i="2"/>
  <c r="J16" i="2"/>
  <c r="N16" i="2" s="1"/>
  <c r="R16" i="2" s="1"/>
  <c r="V16" i="2" s="1"/>
  <c r="J17" i="2"/>
  <c r="N17" i="2" s="1"/>
  <c r="R17" i="2" s="1"/>
  <c r="V17" i="2" s="1"/>
  <c r="J18" i="2"/>
  <c r="N18" i="2" s="1"/>
  <c r="R18" i="2" s="1"/>
  <c r="V18" i="2" s="1"/>
  <c r="J19" i="2"/>
  <c r="N19" i="2" s="1"/>
  <c r="R19" i="2" s="1"/>
  <c r="V19" i="2" s="1"/>
  <c r="J20" i="2"/>
  <c r="N20" i="2" s="1"/>
  <c r="R20" i="2" s="1"/>
  <c r="V20" i="2" s="1"/>
  <c r="J21" i="2"/>
  <c r="N21" i="2" s="1"/>
  <c r="R21" i="2" s="1"/>
  <c r="V21" i="2" s="1"/>
  <c r="J22" i="2"/>
  <c r="N22" i="2" s="1"/>
  <c r="R22" i="2" s="1"/>
  <c r="V22" i="2" s="1"/>
  <c r="J23" i="2"/>
  <c r="N23" i="2" s="1"/>
  <c r="R23" i="2" s="1"/>
  <c r="V23" i="2" s="1"/>
  <c r="D5" i="12"/>
  <c r="E5" i="12" s="1"/>
  <c r="F5" i="12" s="1"/>
  <c r="D4" i="12"/>
  <c r="E4" i="12" s="1"/>
  <c r="F4" i="12" s="1"/>
  <c r="C5" i="12"/>
  <c r="C4" i="12"/>
  <c r="G8" i="2"/>
  <c r="AA34" i="1" l="1"/>
  <c r="J10" i="2" l="1"/>
  <c r="N10" i="2" s="1"/>
  <c r="E4" i="4" l="1"/>
  <c r="E5" i="4"/>
  <c r="E6" i="4"/>
  <c r="E7" i="4"/>
  <c r="E8" i="4"/>
  <c r="E9" i="4"/>
  <c r="E10" i="4"/>
  <c r="E11" i="4"/>
  <c r="E3" i="4"/>
  <c r="A10" i="1" l="1"/>
  <c r="A11" i="1"/>
  <c r="A12" i="1"/>
  <c r="A13" i="1"/>
  <c r="A14" i="1"/>
  <c r="A15" i="1"/>
  <c r="A16" i="1"/>
  <c r="A17" i="1"/>
  <c r="A18" i="1"/>
  <c r="A19" i="1"/>
  <c r="A20" i="1"/>
  <c r="A21" i="1"/>
  <c r="A22" i="1"/>
  <c r="A23" i="1"/>
  <c r="R10" i="2"/>
  <c r="V10" i="2" s="1"/>
  <c r="B12" i="12" l="1"/>
  <c r="F11" i="12"/>
  <c r="C11" i="12"/>
  <c r="D11" i="12" s="1"/>
  <c r="G11" i="12" s="1"/>
  <c r="C10" i="12"/>
  <c r="C9" i="12"/>
  <c r="D9" i="12" s="1"/>
  <c r="C8" i="12"/>
  <c r="D8" i="12" s="1"/>
  <c r="E8" i="12" s="1"/>
  <c r="F8" i="12" s="1"/>
  <c r="C7" i="12"/>
  <c r="C6" i="12"/>
  <c r="D6" i="12" s="1"/>
  <c r="E6" i="12" l="1"/>
  <c r="F6" i="12" s="1"/>
  <c r="G6" i="12"/>
  <c r="E9" i="12"/>
  <c r="F9" i="12" s="1"/>
  <c r="G3" i="12"/>
  <c r="D10" i="12"/>
  <c r="E10" i="12" s="1"/>
  <c r="F10" i="12" s="1"/>
  <c r="G8" i="12"/>
  <c r="C12" i="12"/>
  <c r="D7" i="12"/>
  <c r="E7" i="12" s="1"/>
  <c r="F7" i="12" s="1"/>
  <c r="D12" i="3"/>
  <c r="E12" i="3"/>
  <c r="F12" i="3"/>
  <c r="G12" i="3"/>
  <c r="C12" i="3"/>
  <c r="C13" i="3" s="1"/>
  <c r="D6" i="3"/>
  <c r="E6" i="3"/>
  <c r="F6" i="3"/>
  <c r="G6" i="3"/>
  <c r="C6" i="3"/>
  <c r="C7" i="3" s="1"/>
  <c r="G36" i="3"/>
  <c r="F36" i="3"/>
  <c r="E36" i="3"/>
  <c r="D36" i="3"/>
  <c r="C36" i="3"/>
  <c r="C37" i="3" s="1"/>
  <c r="D37" i="3" s="1"/>
  <c r="G30" i="3"/>
  <c r="F30" i="3"/>
  <c r="E30" i="3"/>
  <c r="D30" i="3"/>
  <c r="C30" i="3"/>
  <c r="C31" i="3" s="1"/>
  <c r="D31" i="3" s="1"/>
  <c r="E31" i="3" s="1"/>
  <c r="F31" i="3" s="1"/>
  <c r="G31" i="3" s="1"/>
  <c r="G24" i="3"/>
  <c r="F24" i="3"/>
  <c r="E24" i="3"/>
  <c r="D24" i="3"/>
  <c r="C24" i="3"/>
  <c r="C25" i="3" s="1"/>
  <c r="D25" i="3" s="1"/>
  <c r="D18" i="3"/>
  <c r="E18" i="3"/>
  <c r="F18" i="3"/>
  <c r="G18" i="3"/>
  <c r="C18" i="3"/>
  <c r="C19" i="3" s="1"/>
  <c r="D19" i="3" s="1"/>
  <c r="D40" i="3"/>
  <c r="E40" i="3"/>
  <c r="F40" i="3"/>
  <c r="G40" i="3"/>
  <c r="D39" i="3"/>
  <c r="E39" i="3"/>
  <c r="F39" i="3"/>
  <c r="G39" i="3"/>
  <c r="C40" i="3"/>
  <c r="C39" i="3"/>
  <c r="H29" i="3"/>
  <c r="H28" i="3"/>
  <c r="H23" i="3"/>
  <c r="H22" i="3"/>
  <c r="H17" i="3"/>
  <c r="H16" i="3"/>
  <c r="E19" i="3" l="1"/>
  <c r="F19" i="3" s="1"/>
  <c r="G19" i="3" s="1"/>
  <c r="H24" i="3"/>
  <c r="H36" i="3"/>
  <c r="H30" i="3"/>
  <c r="G9" i="12"/>
  <c r="G41" i="3"/>
  <c r="D7" i="3"/>
  <c r="E7" i="3" s="1"/>
  <c r="F7" i="3" s="1"/>
  <c r="G7" i="3" s="1"/>
  <c r="D12" i="12"/>
  <c r="G4" i="12"/>
  <c r="E12" i="12"/>
  <c r="F12" i="12"/>
  <c r="G7" i="12"/>
  <c r="G5" i="12"/>
  <c r="G10" i="12"/>
  <c r="C41" i="3"/>
  <c r="C42" i="3"/>
  <c r="E37" i="3"/>
  <c r="F37" i="3" s="1"/>
  <c r="G37" i="3" s="1"/>
  <c r="H31" i="3"/>
  <c r="E25" i="3"/>
  <c r="F25" i="3" s="1"/>
  <c r="G25" i="3" s="1"/>
  <c r="H19" i="3"/>
  <c r="H18" i="3"/>
  <c r="D13" i="3"/>
  <c r="E13" i="3" s="1"/>
  <c r="F13" i="3" s="1"/>
  <c r="G13" i="3" s="1"/>
  <c r="F41" i="3"/>
  <c r="E41" i="3"/>
  <c r="D41" i="3"/>
  <c r="H35" i="3"/>
  <c r="H34" i="3"/>
  <c r="H11" i="3"/>
  <c r="H10" i="3"/>
  <c r="H5" i="3"/>
  <c r="B12" i="7"/>
  <c r="J28" i="1" s="1"/>
  <c r="G11" i="7"/>
  <c r="I11" i="4"/>
  <c r="F5" i="4"/>
  <c r="G5" i="4" s="1"/>
  <c r="H5" i="4" s="1"/>
  <c r="I5" i="4" s="1"/>
  <c r="J5" i="4" s="1"/>
  <c r="F6" i="4"/>
  <c r="G6" i="4" s="1"/>
  <c r="F7" i="4"/>
  <c r="G7" i="4" s="1"/>
  <c r="F8" i="4"/>
  <c r="G8" i="4" s="1"/>
  <c r="H8" i="4" s="1"/>
  <c r="I8" i="4" s="1"/>
  <c r="J8" i="4" s="1"/>
  <c r="F9" i="4"/>
  <c r="G9" i="4" s="1"/>
  <c r="H9" i="4" s="1"/>
  <c r="I9" i="4" s="1"/>
  <c r="J9" i="4" s="1"/>
  <c r="F10" i="4"/>
  <c r="G10" i="4" s="1"/>
  <c r="H10" i="4" s="1"/>
  <c r="I10" i="4" s="1"/>
  <c r="F11" i="4"/>
  <c r="G11" i="4" s="1"/>
  <c r="F4" i="4"/>
  <c r="F3" i="4"/>
  <c r="G3" i="4" s="1"/>
  <c r="H3" i="4" s="1"/>
  <c r="E12" i="4"/>
  <c r="J31" i="1" s="1"/>
  <c r="AA30" i="1"/>
  <c r="AA33" i="1"/>
  <c r="AA35" i="1"/>
  <c r="AA36" i="1"/>
  <c r="AA27" i="1"/>
  <c r="AA26" i="1"/>
  <c r="H7" i="3" l="1"/>
  <c r="G12" i="12"/>
  <c r="H7" i="4"/>
  <c r="I7" i="4" s="1"/>
  <c r="H6" i="4"/>
  <c r="I6" i="4" s="1"/>
  <c r="F12" i="4"/>
  <c r="N31" i="1" s="1"/>
  <c r="H40" i="3"/>
  <c r="H13" i="3"/>
  <c r="H39" i="3"/>
  <c r="D42" i="3"/>
  <c r="E42" i="3"/>
  <c r="H37" i="3"/>
  <c r="H25" i="3"/>
  <c r="G4" i="4"/>
  <c r="H4" i="4" s="1"/>
  <c r="I4" i="4" s="1"/>
  <c r="G9" i="7"/>
  <c r="G7" i="7"/>
  <c r="G10" i="7"/>
  <c r="G6" i="7"/>
  <c r="C12" i="7"/>
  <c r="N28" i="1" s="1"/>
  <c r="J11" i="4"/>
  <c r="J10" i="4"/>
  <c r="I3" i="4"/>
  <c r="J3" i="4" s="1"/>
  <c r="B10" i="1"/>
  <c r="B11" i="1"/>
  <c r="B12" i="1"/>
  <c r="B13" i="1"/>
  <c r="B14" i="1"/>
  <c r="B15" i="1"/>
  <c r="B16" i="1"/>
  <c r="B17" i="1"/>
  <c r="B18" i="1"/>
  <c r="B19" i="1"/>
  <c r="B20" i="1"/>
  <c r="B21" i="1"/>
  <c r="B22" i="1"/>
  <c r="B23" i="1"/>
  <c r="F10" i="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D10" i="1"/>
  <c r="D11" i="1"/>
  <c r="D12" i="1"/>
  <c r="D13" i="1"/>
  <c r="D14" i="1"/>
  <c r="D15" i="1"/>
  <c r="D16" i="1"/>
  <c r="D17" i="1"/>
  <c r="D18" i="1"/>
  <c r="D19" i="1"/>
  <c r="D20" i="1"/>
  <c r="D21" i="1"/>
  <c r="D22" i="1"/>
  <c r="D23" i="1"/>
  <c r="F9" i="1"/>
  <c r="D9" i="1"/>
  <c r="H12" i="3"/>
  <c r="J6" i="4" l="1"/>
  <c r="J7" i="4"/>
  <c r="D7" i="2"/>
  <c r="H41" i="3"/>
  <c r="G42" i="3"/>
  <c r="J32" i="1"/>
  <c r="J37" i="1" s="1"/>
  <c r="H12" i="4"/>
  <c r="V31" i="1" s="1"/>
  <c r="G12" i="4"/>
  <c r="R31" i="1" s="1"/>
  <c r="J4" i="4"/>
  <c r="I12" i="4"/>
  <c r="Z31" i="1" s="1"/>
  <c r="Z32" i="1"/>
  <c r="V32" i="1"/>
  <c r="N32" i="1"/>
  <c r="N37" i="1" s="1"/>
  <c r="H6" i="3"/>
  <c r="R32" i="1"/>
  <c r="G4" i="7"/>
  <c r="E12" i="7"/>
  <c r="V28" i="1" s="1"/>
  <c r="G5" i="7"/>
  <c r="G8" i="7"/>
  <c r="D12" i="7"/>
  <c r="R28" i="1" s="1"/>
  <c r="G14" i="2" l="1"/>
  <c r="G13" i="2"/>
  <c r="H13" i="2" s="1"/>
  <c r="I13" i="2" s="1"/>
  <c r="G11" i="2"/>
  <c r="H11" i="2" s="1"/>
  <c r="I11" i="2" s="1"/>
  <c r="G12" i="2"/>
  <c r="K12" i="2" s="1"/>
  <c r="G15" i="2"/>
  <c r="G10" i="2"/>
  <c r="K10" i="2" s="1"/>
  <c r="G16" i="2"/>
  <c r="K16" i="2" s="1"/>
  <c r="G17" i="2"/>
  <c r="K17" i="2" s="1"/>
  <c r="AA31" i="1"/>
  <c r="J12" i="4"/>
  <c r="G22" i="2"/>
  <c r="K22" i="2" s="1"/>
  <c r="G23" i="2"/>
  <c r="K23" i="2" s="1"/>
  <c r="G24" i="2"/>
  <c r="K24" i="2" s="1"/>
  <c r="G19" i="2"/>
  <c r="K19" i="2" s="1"/>
  <c r="G18" i="2"/>
  <c r="K18" i="2" s="1"/>
  <c r="G20" i="2"/>
  <c r="K20" i="2" s="1"/>
  <c r="G21" i="2"/>
  <c r="K21" i="2" s="1"/>
  <c r="F42" i="3"/>
  <c r="V37" i="1"/>
  <c r="R37" i="1"/>
  <c r="AA29" i="1"/>
  <c r="AA32" i="1"/>
  <c r="F12" i="7"/>
  <c r="Z28" i="1" s="1"/>
  <c r="AA28" i="1" s="1"/>
  <c r="G3" i="7"/>
  <c r="G12" i="7" s="1"/>
  <c r="H10" i="2" l="1"/>
  <c r="K14" i="2"/>
  <c r="H14" i="2"/>
  <c r="I14" i="2" s="1"/>
  <c r="O20" i="2"/>
  <c r="L20" i="2"/>
  <c r="O18" i="2"/>
  <c r="L18" i="2"/>
  <c r="O23" i="2"/>
  <c r="P23" i="2" s="1"/>
  <c r="Q23" i="2" s="1"/>
  <c r="L23" i="2"/>
  <c r="O21" i="2"/>
  <c r="P21" i="2" s="1"/>
  <c r="Q21" i="2" s="1"/>
  <c r="L21" i="2"/>
  <c r="O16" i="2"/>
  <c r="L16" i="2"/>
  <c r="O19" i="2"/>
  <c r="P19" i="2" s="1"/>
  <c r="Q19" i="2" s="1"/>
  <c r="L19" i="2"/>
  <c r="O22" i="2"/>
  <c r="L22" i="2"/>
  <c r="O24" i="2"/>
  <c r="L24" i="2"/>
  <c r="O17" i="2"/>
  <c r="L17" i="2"/>
  <c r="O14" i="2"/>
  <c r="L14" i="2"/>
  <c r="O12" i="2"/>
  <c r="L12" i="2"/>
  <c r="K15" i="2"/>
  <c r="K11" i="2"/>
  <c r="K13" i="2"/>
  <c r="O10" i="2"/>
  <c r="H24" i="2"/>
  <c r="H21" i="2"/>
  <c r="H16" i="2"/>
  <c r="I16" i="2" s="1"/>
  <c r="H18" i="2"/>
  <c r="H23" i="2"/>
  <c r="G9" i="1"/>
  <c r="H15" i="2"/>
  <c r="I15" i="2" s="1"/>
  <c r="H20" i="2"/>
  <c r="H19" i="2"/>
  <c r="H22" i="2"/>
  <c r="H17" i="2"/>
  <c r="I17" i="2" s="1"/>
  <c r="H12" i="2"/>
  <c r="I12" i="2" s="1"/>
  <c r="H42" i="3"/>
  <c r="Z37" i="1"/>
  <c r="AA37" i="1" s="1"/>
  <c r="I10" i="2" l="1"/>
  <c r="H9" i="1" s="1"/>
  <c r="I9" i="1" s="1"/>
  <c r="J9" i="1" s="1"/>
  <c r="S19" i="2"/>
  <c r="W19" i="2" s="1"/>
  <c r="X19" i="2" s="1"/>
  <c r="Y19" i="2" s="1"/>
  <c r="S21" i="2"/>
  <c r="W21" i="2" s="1"/>
  <c r="X21" i="2" s="1"/>
  <c r="Y21" i="2" s="1"/>
  <c r="G20" i="1"/>
  <c r="I21" i="2"/>
  <c r="H20" i="1" s="1"/>
  <c r="S24" i="2"/>
  <c r="P24" i="2"/>
  <c r="Q24" i="2" s="1"/>
  <c r="P23" i="1" s="1"/>
  <c r="Q23" i="1" s="1"/>
  <c r="G23" i="1"/>
  <c r="I24" i="2"/>
  <c r="H23" i="1" s="1"/>
  <c r="G18" i="1"/>
  <c r="I19" i="2"/>
  <c r="H18" i="1" s="1"/>
  <c r="S12" i="2"/>
  <c r="P12" i="2"/>
  <c r="S22" i="2"/>
  <c r="P22" i="2"/>
  <c r="Q22" i="2" s="1"/>
  <c r="P21" i="1" s="1"/>
  <c r="Q21" i="1" s="1"/>
  <c r="R21" i="1" s="1"/>
  <c r="G11" i="1"/>
  <c r="H11" i="1"/>
  <c r="O15" i="2"/>
  <c r="L15" i="2"/>
  <c r="G13" i="1"/>
  <c r="H13" i="1"/>
  <c r="G17" i="1"/>
  <c r="I18" i="2"/>
  <c r="H17" i="1" s="1"/>
  <c r="S14" i="2"/>
  <c r="P14" i="2"/>
  <c r="Q14" i="2" s="1"/>
  <c r="P13" i="1" s="1"/>
  <c r="Q13" i="1" s="1"/>
  <c r="R13" i="1" s="1"/>
  <c r="S18" i="2"/>
  <c r="P18" i="2"/>
  <c r="Q18" i="2" s="1"/>
  <c r="O13" i="2"/>
  <c r="L13" i="2"/>
  <c r="G19" i="1"/>
  <c r="I20" i="2"/>
  <c r="H19" i="1" s="1"/>
  <c r="G16" i="1"/>
  <c r="H16" i="1"/>
  <c r="G15" i="1"/>
  <c r="H15" i="1"/>
  <c r="G14" i="1"/>
  <c r="H14" i="1"/>
  <c r="G22" i="1"/>
  <c r="I23" i="2"/>
  <c r="H22" i="1" s="1"/>
  <c r="G12" i="1"/>
  <c r="H12" i="1"/>
  <c r="G21" i="1"/>
  <c r="I22" i="2"/>
  <c r="H21" i="1" s="1"/>
  <c r="H10" i="1"/>
  <c r="O11" i="2"/>
  <c r="P11" i="2" s="1"/>
  <c r="L11" i="2"/>
  <c r="S23" i="2"/>
  <c r="W23" i="2" s="1"/>
  <c r="X23" i="2" s="1"/>
  <c r="Y23" i="2" s="1"/>
  <c r="S17" i="2"/>
  <c r="P17" i="2"/>
  <c r="Q17" i="2" s="1"/>
  <c r="S16" i="2"/>
  <c r="P16" i="2"/>
  <c r="Q16" i="2" s="1"/>
  <c r="S20" i="2"/>
  <c r="P20" i="2"/>
  <c r="Q20" i="2" s="1"/>
  <c r="S10" i="2"/>
  <c r="W10" i="2" s="1"/>
  <c r="X10" i="2" s="1"/>
  <c r="P10" i="2"/>
  <c r="M14" i="2"/>
  <c r="L13" i="1" s="1"/>
  <c r="M13" i="1" s="1"/>
  <c r="N13" i="1" s="1"/>
  <c r="K13" i="1"/>
  <c r="L10" i="2"/>
  <c r="P22" i="1"/>
  <c r="Q22" i="1" s="1"/>
  <c r="R22" i="1" s="1"/>
  <c r="W18" i="1" l="1"/>
  <c r="T23" i="2"/>
  <c r="U23" i="2" s="1"/>
  <c r="S11" i="2"/>
  <c r="W11" i="2" s="1"/>
  <c r="X11" i="2" s="1"/>
  <c r="Y11" i="2" s="1"/>
  <c r="X10" i="1" s="1"/>
  <c r="Y10" i="1" s="1"/>
  <c r="Z10" i="1" s="1"/>
  <c r="T21" i="2"/>
  <c r="S20" i="1" s="1"/>
  <c r="T19" i="2"/>
  <c r="S18" i="1" s="1"/>
  <c r="W22" i="1"/>
  <c r="T10" i="2"/>
  <c r="S9" i="1" s="1"/>
  <c r="O13" i="1"/>
  <c r="W20" i="1"/>
  <c r="I21" i="1"/>
  <c r="J21" i="1" s="1"/>
  <c r="I15" i="1"/>
  <c r="J15" i="1" s="1"/>
  <c r="I18" i="1"/>
  <c r="J18" i="1" s="1"/>
  <c r="I12" i="1"/>
  <c r="J12" i="1" s="1"/>
  <c r="I16" i="1"/>
  <c r="J16" i="1" s="1"/>
  <c r="I11" i="1"/>
  <c r="J11" i="1" s="1"/>
  <c r="I23" i="1"/>
  <c r="J23" i="1" s="1"/>
  <c r="I22" i="1"/>
  <c r="J22" i="1" s="1"/>
  <c r="I19" i="1"/>
  <c r="J19" i="1" s="1"/>
  <c r="I17" i="1"/>
  <c r="J17" i="1" s="1"/>
  <c r="I10" i="1"/>
  <c r="J10" i="1" s="1"/>
  <c r="I14" i="1"/>
  <c r="J14" i="1" s="1"/>
  <c r="I13" i="1"/>
  <c r="J13" i="1" s="1"/>
  <c r="I20" i="1"/>
  <c r="J20" i="1" s="1"/>
  <c r="W18" i="2"/>
  <c r="X18" i="2" s="1"/>
  <c r="T18" i="2"/>
  <c r="S15" i="2"/>
  <c r="P15" i="2"/>
  <c r="W17" i="2"/>
  <c r="X17" i="2" s="1"/>
  <c r="T17" i="2"/>
  <c r="T14" i="2"/>
  <c r="W14" i="2"/>
  <c r="X14" i="2" s="1"/>
  <c r="T22" i="2"/>
  <c r="W22" i="2"/>
  <c r="X22" i="2" s="1"/>
  <c r="T24" i="2"/>
  <c r="W24" i="2"/>
  <c r="X24" i="2" s="1"/>
  <c r="W16" i="2"/>
  <c r="X16" i="2" s="1"/>
  <c r="T16" i="2"/>
  <c r="T20" i="2"/>
  <c r="W20" i="2"/>
  <c r="X20" i="2" s="1"/>
  <c r="S13" i="2"/>
  <c r="P13" i="2"/>
  <c r="T12" i="2"/>
  <c r="W12" i="2"/>
  <c r="X12" i="2" s="1"/>
  <c r="O10" i="1"/>
  <c r="Q11" i="2"/>
  <c r="P10" i="1" s="1"/>
  <c r="Q10" i="1" s="1"/>
  <c r="R10" i="1" s="1"/>
  <c r="O9" i="1"/>
  <c r="Q10" i="2"/>
  <c r="P9" i="1" s="1"/>
  <c r="M20" i="2"/>
  <c r="L19" i="1" s="1"/>
  <c r="M19" i="1" s="1"/>
  <c r="N19" i="1" s="1"/>
  <c r="K19" i="1"/>
  <c r="M23" i="2"/>
  <c r="L22" i="1" s="1"/>
  <c r="M22" i="1" s="1"/>
  <c r="N22" i="1" s="1"/>
  <c r="K22" i="1"/>
  <c r="M13" i="2"/>
  <c r="L12" i="1" s="1"/>
  <c r="M12" i="1" s="1"/>
  <c r="N12" i="1" s="1"/>
  <c r="K12" i="1"/>
  <c r="M24" i="2"/>
  <c r="L23" i="1" s="1"/>
  <c r="M23" i="1" s="1"/>
  <c r="K23" i="1"/>
  <c r="M21" i="2"/>
  <c r="L20" i="1" s="1"/>
  <c r="M20" i="1" s="1"/>
  <c r="N20" i="1" s="1"/>
  <c r="K20" i="1"/>
  <c r="M16" i="2"/>
  <c r="L15" i="1" s="1"/>
  <c r="M15" i="1" s="1"/>
  <c r="N15" i="1" s="1"/>
  <c r="K15" i="1"/>
  <c r="M17" i="2"/>
  <c r="L16" i="1" s="1"/>
  <c r="M16" i="1" s="1"/>
  <c r="N16" i="1" s="1"/>
  <c r="K16" i="1"/>
  <c r="M18" i="2"/>
  <c r="L17" i="1" s="1"/>
  <c r="M17" i="1" s="1"/>
  <c r="N17" i="1" s="1"/>
  <c r="K17" i="1"/>
  <c r="M12" i="2"/>
  <c r="L11" i="1" s="1"/>
  <c r="M11" i="1" s="1"/>
  <c r="N11" i="1" s="1"/>
  <c r="K11" i="1"/>
  <c r="M15" i="2"/>
  <c r="L14" i="1" s="1"/>
  <c r="M14" i="1" s="1"/>
  <c r="N14" i="1" s="1"/>
  <c r="K14" i="1"/>
  <c r="M19" i="2"/>
  <c r="L18" i="1" s="1"/>
  <c r="M18" i="1" s="1"/>
  <c r="N18" i="1" s="1"/>
  <c r="K18" i="1"/>
  <c r="M22" i="2"/>
  <c r="L21" i="1" s="1"/>
  <c r="M21" i="1" s="1"/>
  <c r="N21" i="1" s="1"/>
  <c r="K21" i="1"/>
  <c r="M11" i="2"/>
  <c r="L10" i="1" s="1"/>
  <c r="M10" i="1" s="1"/>
  <c r="N10" i="1" s="1"/>
  <c r="K10" i="1"/>
  <c r="M10" i="2"/>
  <c r="L9" i="1" s="1"/>
  <c r="K9" i="1"/>
  <c r="Y10" i="2"/>
  <c r="W9" i="1"/>
  <c r="O19" i="1"/>
  <c r="O23" i="1"/>
  <c r="X18" i="1"/>
  <c r="Y18" i="1" s="1"/>
  <c r="Z18" i="1" s="1"/>
  <c r="O18" i="1"/>
  <c r="X22" i="1"/>
  <c r="Y22" i="1" s="1"/>
  <c r="Z22" i="1" s="1"/>
  <c r="O22" i="1"/>
  <c r="O15" i="1"/>
  <c r="P19" i="1"/>
  <c r="Q19" i="1" s="1"/>
  <c r="R19" i="1" s="1"/>
  <c r="X20" i="1"/>
  <c r="O20" i="1"/>
  <c r="O17" i="1"/>
  <c r="O16" i="1"/>
  <c r="O21" i="1"/>
  <c r="P20" i="1"/>
  <c r="Q20" i="1" s="1"/>
  <c r="R20" i="1" s="1"/>
  <c r="P16" i="1"/>
  <c r="Q16" i="1" s="1"/>
  <c r="R16" i="1" s="1"/>
  <c r="P18" i="1"/>
  <c r="Q18" i="1" s="1"/>
  <c r="R18" i="1" s="1"/>
  <c r="P17" i="1"/>
  <c r="Q17" i="1" s="1"/>
  <c r="R17" i="1" s="1"/>
  <c r="R23" i="1"/>
  <c r="P15" i="1"/>
  <c r="H24" i="1"/>
  <c r="T11" i="2" l="1"/>
  <c r="U21" i="2"/>
  <c r="S22" i="1"/>
  <c r="U19" i="2"/>
  <c r="T18" i="1" s="1"/>
  <c r="U18" i="1" s="1"/>
  <c r="V18" i="1" s="1"/>
  <c r="AA18" i="1" s="1"/>
  <c r="W10" i="1"/>
  <c r="U10" i="2"/>
  <c r="T9" i="1" s="1"/>
  <c r="J24" i="1"/>
  <c r="J38" i="1" s="1"/>
  <c r="J46" i="1" s="1"/>
  <c r="I24" i="1"/>
  <c r="W15" i="2"/>
  <c r="X15" i="2" s="1"/>
  <c r="Y15" i="2" s="1"/>
  <c r="T15" i="2"/>
  <c r="W13" i="1"/>
  <c r="Y14" i="2"/>
  <c r="X13" i="1" s="1"/>
  <c r="Y13" i="1" s="1"/>
  <c r="Z13" i="1" s="1"/>
  <c r="S19" i="1"/>
  <c r="U20" i="2"/>
  <c r="T19" i="1" s="1"/>
  <c r="U19" i="1" s="1"/>
  <c r="V19" i="1" s="1"/>
  <c r="U14" i="2"/>
  <c r="T13" i="1" s="1"/>
  <c r="U13" i="1" s="1"/>
  <c r="V13" i="1" s="1"/>
  <c r="S13" i="1"/>
  <c r="U24" i="2"/>
  <c r="T23" i="1" s="1"/>
  <c r="U23" i="1" s="1"/>
  <c r="V23" i="1" s="1"/>
  <c r="S23" i="1"/>
  <c r="U16" i="2"/>
  <c r="T15" i="1" s="1"/>
  <c r="S15" i="1"/>
  <c r="U17" i="2"/>
  <c r="T16" i="1" s="1"/>
  <c r="U16" i="1" s="1"/>
  <c r="V16" i="1" s="1"/>
  <c r="S16" i="1"/>
  <c r="Q13" i="2"/>
  <c r="P12" i="1" s="1"/>
  <c r="Q12" i="1" s="1"/>
  <c r="R12" i="1" s="1"/>
  <c r="O12" i="1"/>
  <c r="Y16" i="2"/>
  <c r="X15" i="1" s="1"/>
  <c r="W15" i="1"/>
  <c r="Y17" i="2"/>
  <c r="X16" i="1" s="1"/>
  <c r="Y16" i="1" s="1"/>
  <c r="Z16" i="1" s="1"/>
  <c r="W16" i="1"/>
  <c r="Y20" i="2"/>
  <c r="X19" i="1" s="1"/>
  <c r="Y19" i="1" s="1"/>
  <c r="Z19" i="1" s="1"/>
  <c r="W19" i="1"/>
  <c r="K24" i="1"/>
  <c r="Y12" i="2"/>
  <c r="X11" i="1" s="1"/>
  <c r="Y11" i="1" s="1"/>
  <c r="Z11" i="1" s="1"/>
  <c r="W11" i="1"/>
  <c r="W23" i="1"/>
  <c r="Y24" i="2"/>
  <c r="X23" i="1" s="1"/>
  <c r="Y23" i="1" s="1"/>
  <c r="Z23" i="1" s="1"/>
  <c r="Q15" i="2"/>
  <c r="P14" i="1" s="1"/>
  <c r="Q14" i="1" s="1"/>
  <c r="R14" i="1" s="1"/>
  <c r="O14" i="1"/>
  <c r="S11" i="1"/>
  <c r="U12" i="2"/>
  <c r="T11" i="1" s="1"/>
  <c r="U11" i="1" s="1"/>
  <c r="V11" i="1" s="1"/>
  <c r="Y22" i="2"/>
  <c r="X21" i="1" s="1"/>
  <c r="Y21" i="1" s="1"/>
  <c r="Z21" i="1" s="1"/>
  <c r="W21" i="1"/>
  <c r="U18" i="2"/>
  <c r="T17" i="1" s="1"/>
  <c r="U17" i="1" s="1"/>
  <c r="V17" i="1" s="1"/>
  <c r="S17" i="1"/>
  <c r="W13" i="2"/>
  <c r="X13" i="2" s="1"/>
  <c r="T13" i="2"/>
  <c r="U22" i="2"/>
  <c r="T21" i="1" s="1"/>
  <c r="U21" i="1" s="1"/>
  <c r="V21" i="1" s="1"/>
  <c r="S21" i="1"/>
  <c r="W17" i="1"/>
  <c r="Y18" i="2"/>
  <c r="X17" i="1" s="1"/>
  <c r="Y17" i="1" s="1"/>
  <c r="Z17" i="1" s="1"/>
  <c r="M9" i="1"/>
  <c r="L24" i="1"/>
  <c r="Q9" i="1"/>
  <c r="N23" i="1"/>
  <c r="O11" i="1"/>
  <c r="Q12" i="2"/>
  <c r="P11" i="1" s="1"/>
  <c r="Q11" i="1" s="1"/>
  <c r="R11" i="1" s="1"/>
  <c r="U11" i="2"/>
  <c r="T10" i="1" s="1"/>
  <c r="U10" i="1" s="1"/>
  <c r="V10" i="1" s="1"/>
  <c r="S10" i="1"/>
  <c r="T20" i="1"/>
  <c r="U20" i="1" s="1"/>
  <c r="V20" i="1" s="1"/>
  <c r="T22" i="1"/>
  <c r="U22" i="1" s="1"/>
  <c r="V22" i="1" s="1"/>
  <c r="AA22" i="1" s="1"/>
  <c r="Y20" i="1"/>
  <c r="Z20" i="1" s="1"/>
  <c r="X9" i="1"/>
  <c r="Q15" i="1"/>
  <c r="R15" i="1" s="1"/>
  <c r="AA10" i="1" l="1"/>
  <c r="AA16" i="1"/>
  <c r="AA13" i="1"/>
  <c r="AA23" i="1"/>
  <c r="J39" i="1"/>
  <c r="J40" i="1" s="1"/>
  <c r="J42" i="1" s="1"/>
  <c r="J41" i="1"/>
  <c r="O24" i="1"/>
  <c r="AA19" i="1"/>
  <c r="AA21" i="1"/>
  <c r="U13" i="2"/>
  <c r="T12" i="1" s="1"/>
  <c r="U12" i="1" s="1"/>
  <c r="V12" i="1" s="1"/>
  <c r="S12" i="1"/>
  <c r="Y13" i="2"/>
  <c r="X12" i="1" s="1"/>
  <c r="Y12" i="1" s="1"/>
  <c r="Z12" i="1" s="1"/>
  <c r="W12" i="1"/>
  <c r="AA17" i="1"/>
  <c r="U15" i="2"/>
  <c r="T14" i="1" s="1"/>
  <c r="U14" i="1" s="1"/>
  <c r="V14" i="1" s="1"/>
  <c r="S14" i="1"/>
  <c r="W14" i="1"/>
  <c r="X14" i="1"/>
  <c r="Y14" i="1" s="1"/>
  <c r="Z14" i="1" s="1"/>
  <c r="P24" i="1"/>
  <c r="Q24" i="1"/>
  <c r="R9" i="1"/>
  <c r="R24" i="1" s="1"/>
  <c r="R38" i="1" s="1"/>
  <c r="N9" i="1"/>
  <c r="N24" i="1" s="1"/>
  <c r="N38" i="1" s="1"/>
  <c r="M24" i="1"/>
  <c r="J49" i="1"/>
  <c r="J47" i="1"/>
  <c r="AA20" i="1"/>
  <c r="J48" i="1"/>
  <c r="J50" i="1" s="1"/>
  <c r="AA11" i="1"/>
  <c r="U15" i="1"/>
  <c r="V15" i="1" s="1"/>
  <c r="Y15" i="1"/>
  <c r="Z15" i="1" s="1"/>
  <c r="S24" i="1" l="1"/>
  <c r="W24" i="1"/>
  <c r="AA14" i="1"/>
  <c r="AA12" i="1"/>
  <c r="T24" i="1"/>
  <c r="X24" i="1"/>
  <c r="N41" i="1"/>
  <c r="N39" i="1"/>
  <c r="N40" i="1" s="1"/>
  <c r="N42" i="1" s="1"/>
  <c r="R41" i="1"/>
  <c r="R39" i="1"/>
  <c r="R40" i="1" s="1"/>
  <c r="R42" i="1" s="1"/>
  <c r="N46" i="1"/>
  <c r="R46" i="1"/>
  <c r="U9" i="1"/>
  <c r="Y9" i="1"/>
  <c r="AA15" i="1"/>
  <c r="V9" i="1" l="1"/>
  <c r="U24" i="1"/>
  <c r="Z9" i="1"/>
  <c r="Z24" i="1" s="1"/>
  <c r="Z38" i="1" s="1"/>
  <c r="Y24" i="1"/>
  <c r="R49" i="1"/>
  <c r="R47" i="1"/>
  <c r="R48" i="1" s="1"/>
  <c r="R50" i="1" s="1"/>
  <c r="N49" i="1"/>
  <c r="N47" i="1"/>
  <c r="N48" i="1" s="1"/>
  <c r="N50" i="1" s="1"/>
  <c r="Z46" i="1" l="1"/>
  <c r="Z47" i="1" s="1"/>
  <c r="Z48" i="1" s="1"/>
  <c r="Z50" i="1" s="1"/>
  <c r="Z41" i="1"/>
  <c r="AA9" i="1"/>
  <c r="AA24" i="1" s="1"/>
  <c r="AA38" i="1" s="1"/>
  <c r="Z39" i="1"/>
  <c r="Z40" i="1" s="1"/>
  <c r="V24" i="1"/>
  <c r="V38" i="1" s="1"/>
  <c r="V46" i="1" s="1"/>
  <c r="Z49" i="1" l="1"/>
  <c r="V41" i="1"/>
  <c r="AA41" i="1" s="1"/>
  <c r="V39" i="1"/>
  <c r="V40" i="1" s="1"/>
  <c r="V42" i="1" s="1"/>
  <c r="V49" i="1"/>
  <c r="V47" i="1"/>
  <c r="AA46" i="1"/>
  <c r="Z42" i="1"/>
  <c r="AA49" i="1" l="1"/>
  <c r="AA40" i="1"/>
  <c r="AA42" i="1" s="1"/>
  <c r="AA39" i="1"/>
  <c r="V48" i="1"/>
  <c r="AA47" i="1"/>
  <c r="AA48" i="1" l="1"/>
  <c r="AA50" i="1" s="1"/>
  <c r="V50" i="1"/>
</calcChain>
</file>

<file path=xl/sharedStrings.xml><?xml version="1.0" encoding="utf-8"?>
<sst xmlns="http://schemas.openxmlformats.org/spreadsheetml/2006/main" count="256" uniqueCount="158">
  <si>
    <t>ROLE ON PROJECT</t>
  </si>
  <si>
    <t>INST.BASE SALARY</t>
  </si>
  <si>
    <t>TOTAL</t>
  </si>
  <si>
    <t>CONSULTANT COSTS</t>
  </si>
  <si>
    <t>FROM:</t>
  </si>
  <si>
    <t>THROUGH:</t>
  </si>
  <si>
    <t>EFFORT
(0.00)</t>
  </si>
  <si>
    <t>Total Salary and Fringe Benefits</t>
  </si>
  <si>
    <t>Total Other Expenses</t>
  </si>
  <si>
    <t>FRINGE
BENEFITS</t>
  </si>
  <si>
    <t>DESCRIPTION</t>
  </si>
  <si>
    <t>AMOUNT
REQUESTED</t>
  </si>
  <si>
    <t>Principal Investigator (Last, First):</t>
  </si>
  <si>
    <t>Indirect cost</t>
  </si>
  <si>
    <t>Yr 1 IDC Rate</t>
  </si>
  <si>
    <t>Year 2 IDC Rate</t>
  </si>
  <si>
    <t>TOTAL GRANT COST</t>
  </si>
  <si>
    <t>Year 1</t>
  </si>
  <si>
    <t>YEAR 1      TOTAL</t>
  </si>
  <si>
    <t>YEAR 2      TOTAL</t>
  </si>
  <si>
    <t>YEAR 3     TOTAL</t>
  </si>
  <si>
    <t>YEAR 4     TOTAL</t>
  </si>
  <si>
    <t>YEAR 5     TOTAL</t>
  </si>
  <si>
    <t>Year 2</t>
  </si>
  <si>
    <t>Year 3</t>
  </si>
  <si>
    <t>Year 4</t>
  </si>
  <si>
    <t>Year 5</t>
  </si>
  <si>
    <t>Fringe Rate</t>
  </si>
  <si>
    <t>Faculty/Staff/Post-Doc</t>
  </si>
  <si>
    <t>Federal</t>
  </si>
  <si>
    <t>Non-federal</t>
  </si>
  <si>
    <t>Physicians</t>
  </si>
  <si>
    <t>Residents</t>
  </si>
  <si>
    <t>Part-time</t>
  </si>
  <si>
    <t>DEPARTMENT</t>
  </si>
  <si>
    <t>GRANT DATES</t>
  </si>
  <si>
    <t>SALARY TAB :</t>
  </si>
  <si>
    <t>FRINGE RATE</t>
  </si>
  <si>
    <t xml:space="preserve">% OF EFFORT </t>
  </si>
  <si>
    <t>SUPPLY TAB:</t>
  </si>
  <si>
    <t>EQUIPMENT TAB:</t>
  </si>
  <si>
    <t>SUB-AWARD TAB:</t>
  </si>
  <si>
    <t>Grant Start Date</t>
  </si>
  <si>
    <t>Monthly Split</t>
  </si>
  <si>
    <t>Total Sub-Contract Costs</t>
  </si>
  <si>
    <t>Total Sub-Contract F&amp;A Costs</t>
  </si>
  <si>
    <t>SUB AWARD INFORMATION</t>
  </si>
  <si>
    <t>Name</t>
  </si>
  <si>
    <t>Direct Costs</t>
  </si>
  <si>
    <t>Indirect Costs</t>
  </si>
  <si>
    <t>SUB AWARD 1</t>
  </si>
  <si>
    <t>SUB AWARD 2</t>
  </si>
  <si>
    <t>SUB AWARD 3</t>
  </si>
  <si>
    <t>YEAR 1</t>
  </si>
  <si>
    <t>YEAR 2</t>
  </si>
  <si>
    <t>YEAR 3</t>
  </si>
  <si>
    <t>YEAR 4</t>
  </si>
  <si>
    <t>YEAR 5</t>
  </si>
  <si>
    <t xml:space="preserve">TOTAL SUB AWARD </t>
  </si>
  <si>
    <t>Fringe Rates</t>
  </si>
  <si>
    <t>Salary Cap</t>
  </si>
  <si>
    <t>Please complete yellow cells first, enter IBS, enter fringe and effort</t>
  </si>
  <si>
    <t>Modular Indirect cost</t>
  </si>
  <si>
    <t>MODULAR TOTAL GRANT COST</t>
  </si>
  <si>
    <t>Modular Indirect Cost Base</t>
  </si>
  <si>
    <t>Indirect Cost Base</t>
  </si>
  <si>
    <t>PLEASE ENTER INDIRECT COST RATES</t>
  </si>
  <si>
    <t>ITEM</t>
  </si>
  <si>
    <t>YR 1 COST</t>
  </si>
  <si>
    <t>YR 2 COST</t>
  </si>
  <si>
    <t>YR 3 COST</t>
  </si>
  <si>
    <t>YR 4 COST</t>
  </si>
  <si>
    <t>YR 5 COST</t>
  </si>
  <si>
    <t>TOTAL COST</t>
  </si>
  <si>
    <t>EQUIPMENT</t>
  </si>
  <si>
    <t xml:space="preserve">ITEM </t>
  </si>
  <si>
    <t>NAME AND ROLE</t>
  </si>
  <si>
    <t>PLEASE ENTER THE FOLLOWING ITEMS IN THE SALARY TAB:</t>
  </si>
  <si>
    <t>ANNUAL IBS ( SALARY CAP WILL AUTO FILL AFTER YOU ENTER THE IBS)</t>
  </si>
  <si>
    <t>**</t>
  </si>
  <si>
    <t>Salary increase each year based on inflation rate provided</t>
  </si>
  <si>
    <t xml:space="preserve">** </t>
  </si>
  <si>
    <t>Please list the items requested and there cost. There is automatic 3% increase each year. If you don’t' want to increase the amount by 3%, enter the amount requested manually each year on the budget worksheet</t>
  </si>
  <si>
    <r>
      <t xml:space="preserve">MODULAR ADJUSTMENT </t>
    </r>
    <r>
      <rPr>
        <i/>
        <sz val="12"/>
        <color rgb="FFFF0000"/>
        <rFont val="Calibri"/>
        <family val="2"/>
        <scheme val="minor"/>
      </rPr>
      <t>(Use only for NIH budgets that meet Modular budget requirements)</t>
    </r>
  </si>
  <si>
    <t xml:space="preserve">Please complete subaward cost for each year. Enter the amount that should be included in the IDC base each year. </t>
  </si>
  <si>
    <t>Current Annual IBS</t>
  </si>
  <si>
    <t xml:space="preserve">Please list the equipment and cost for each item in the appropriate year. It will auto feed to the Budget Worksheet. </t>
  </si>
  <si>
    <t>Entering zero for salary in outlaying year will stop the salary projections</t>
  </si>
  <si>
    <t>PROJECT TAB:</t>
  </si>
  <si>
    <t xml:space="preserve">SUPPLIES </t>
  </si>
  <si>
    <t>Amount  included in IDC Base</t>
  </si>
  <si>
    <t>TOTAL IDC BASE</t>
  </si>
  <si>
    <t>Total Expense Budget (Direct Cost)</t>
  </si>
  <si>
    <t>Year 2 Effort</t>
  </si>
  <si>
    <t>Year3 Effort</t>
  </si>
  <si>
    <t>Year 4 Effort</t>
  </si>
  <si>
    <t>Year 5 Effort</t>
  </si>
  <si>
    <t>Annual Increase</t>
  </si>
  <si>
    <t xml:space="preserve">Current Year Increase </t>
  </si>
  <si>
    <t>PATIENT CARE COST</t>
  </si>
  <si>
    <t>Please enter patient care cost are excluded for IDC base</t>
  </si>
  <si>
    <t xml:space="preserve">Non-Federal </t>
  </si>
  <si>
    <t>Non-Federal</t>
  </si>
  <si>
    <t>YR 1 Inflated Salary</t>
  </si>
  <si>
    <t>YR 2 Inflated Salary</t>
  </si>
  <si>
    <t>Year One     IBS</t>
  </si>
  <si>
    <t>Year Two        IBS</t>
  </si>
  <si>
    <t>YR 3 Inflated Salary</t>
  </si>
  <si>
    <t>Year Three    IBS</t>
  </si>
  <si>
    <t>YR 4 Inflated Salary</t>
  </si>
  <si>
    <t>Year Four        IBS</t>
  </si>
  <si>
    <t>Year 3      Salary</t>
  </si>
  <si>
    <t>Year  Five          IBS</t>
  </si>
  <si>
    <t>YR 5  Inflated         Salary</t>
  </si>
  <si>
    <t>CM</t>
  </si>
  <si>
    <t>Year 1 Effort %</t>
  </si>
  <si>
    <t>REQUESTED SALARY</t>
  </si>
  <si>
    <t xml:space="preserve">NAME </t>
  </si>
  <si>
    <t xml:space="preserve">TUITION  </t>
  </si>
  <si>
    <t xml:space="preserve">TRAVEL </t>
  </si>
  <si>
    <t>NAME</t>
  </si>
  <si>
    <t>Item Cost</t>
  </si>
  <si>
    <t>SUB AWARD 4</t>
  </si>
  <si>
    <t>SUB AWARD 5</t>
  </si>
  <si>
    <t>SUB AWARD 6</t>
  </si>
  <si>
    <t>Please enter end date</t>
  </si>
  <si>
    <t>Current Fiscal Year</t>
  </si>
  <si>
    <t>Number of Items Per Year</t>
  </si>
  <si>
    <t>College</t>
  </si>
  <si>
    <t>Yerkes</t>
  </si>
  <si>
    <t>Public Health</t>
  </si>
  <si>
    <t>Nursing</t>
  </si>
  <si>
    <t>Please provide the cost breakdown for internal projects assoicated with this proposal by color coding the lines that belong to another school using the color associated with the school based on the colors below. (use the Styles tab in the Excel command ribon)</t>
  </si>
  <si>
    <t>Modular without Sub Award IDC</t>
  </si>
  <si>
    <t>Direct Cost without Sub Award Indirect Cost</t>
  </si>
  <si>
    <t>Proposal Type</t>
  </si>
  <si>
    <t>BUDGET</t>
  </si>
  <si>
    <t>PLEASE ENTER GRANT TYPE FROM DROPDOWN LIST. (FEDERAL OR NON-FEDERAL)</t>
  </si>
  <si>
    <t>All salary information will auto-feed into budget worksheet</t>
  </si>
  <si>
    <t>If effort changesin outgoing years, please update effort on the salary worksheet</t>
  </si>
  <si>
    <t>PLEASE COMPLETE THE TABS BEFORE YOU ENTER ANYTHING ON THE BUDGET PAGE. THIS BUGET HAS  AUTO FILL COMPOMNENTS. THEY ARE LISTED BELOW.  PLEASE COMPLETE EACH TAB  NECESSARY FOR YOUR SUBMISSION.  CELLS HIGHLIGTHED IN BRIGHT YELLOW SHOULD  BE UPDATED FIRST. RENAME BUDGET FILE BEFORE SAVING!</t>
  </si>
  <si>
    <t>Year 1   Salary</t>
  </si>
  <si>
    <t>Year 2   Salary</t>
  </si>
  <si>
    <t xml:space="preserve">Year   4     Salary </t>
  </si>
  <si>
    <t>Year 5       Salary</t>
  </si>
  <si>
    <r>
      <t xml:space="preserve">SUB-AWARD                                               </t>
    </r>
    <r>
      <rPr>
        <i/>
        <sz val="11"/>
        <color rgb="FFFF0000"/>
        <rFont val="Calibri"/>
        <family val="2"/>
        <scheme val="minor"/>
      </rPr>
      <t>(Please itemize on "SUB-AWARD TAB")</t>
    </r>
  </si>
  <si>
    <t>Next  Fiscal Year after grant start date</t>
  </si>
  <si>
    <t>Date</t>
  </si>
  <si>
    <t>Time</t>
  </si>
  <si>
    <t>PI</t>
  </si>
  <si>
    <t>Misc</t>
  </si>
  <si>
    <t>.</t>
  </si>
  <si>
    <r>
      <t xml:space="preserve">EQUIPMENT                                          </t>
    </r>
    <r>
      <rPr>
        <i/>
        <sz val="11"/>
        <color rgb="FFFF0000"/>
        <rFont val="Calibri"/>
        <family val="2"/>
        <scheme val="minor"/>
      </rPr>
      <t xml:space="preserve">   </t>
    </r>
  </si>
  <si>
    <r>
      <t xml:space="preserve">SUPPLIES                                                     </t>
    </r>
    <r>
      <rPr>
        <i/>
        <sz val="11"/>
        <color rgb="FFFF0000"/>
        <rFont val="Calibri"/>
        <family val="2"/>
        <scheme val="minor"/>
      </rPr>
      <t>(Please itemize on the justification)</t>
    </r>
  </si>
  <si>
    <r>
      <t xml:space="preserve">PATIENT CARE COSTS                        </t>
    </r>
    <r>
      <rPr>
        <i/>
        <sz val="11"/>
        <color rgb="FFFF0000"/>
        <rFont val="Calibri"/>
        <family val="2"/>
        <scheme val="minor"/>
      </rPr>
      <t>(Please itemize on the justification)</t>
    </r>
  </si>
  <si>
    <t>OTHER EXPENSES                             (Please itemize on the justification)</t>
  </si>
  <si>
    <t xml:space="preserve">TITLE:  </t>
  </si>
  <si>
    <t>Sub 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</si>
</sst>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mm/dd/yy;@"/>
    <numFmt numFmtId="165" formatCode="0.0%"/>
    <numFmt numFmtId="166" formatCode="_(* #,##0_);_(* \(#,##0\);_(* &quot;-&quot;??_);_(@_)"/>
    <numFmt numFmtId="167" formatCode="_(&quot;$&quot;* #,##0_);_(&quot;$&quot;* \(#,##0\);_(&quot;$&quot;* &quot;-&quot;??_);_(@_)"/>
    <numFmt numFmtId="168" formatCode="0.000%"/>
  </numFmts>
  <fonts count="50" x14ac:knownFonts="1">
    <font>
      <sz val="10"/>
      <color rgb="FF000000"/>
      <name val="Times New Roman"/>
      <charset val="204"/>
    </font>
    <font>
      <sz val="10"/>
      <color rgb="FF000000"/>
      <name val="Calibri"/>
      <family val="2"/>
      <scheme val="minor"/>
    </font>
    <font>
      <sz val="10"/>
      <name val="Calibri"/>
      <family val="2"/>
      <scheme val="minor"/>
    </font>
    <font>
      <b/>
      <sz val="10"/>
      <name val="Calibri"/>
      <family val="2"/>
      <scheme val="minor"/>
    </font>
    <font>
      <b/>
      <sz val="12"/>
      <name val="Calibri"/>
      <family val="2"/>
      <scheme val="minor"/>
    </font>
    <font>
      <b/>
      <sz val="16"/>
      <color rgb="FF000000"/>
      <name val="Calibri"/>
      <family val="2"/>
      <scheme val="minor"/>
    </font>
    <font>
      <sz val="12"/>
      <color rgb="FF000000"/>
      <name val="Calibri"/>
      <family val="2"/>
      <scheme val="minor"/>
    </font>
    <font>
      <sz val="10"/>
      <color rgb="FF000000"/>
      <name val="Times New Roman"/>
      <family val="1"/>
    </font>
    <font>
      <b/>
      <sz val="14"/>
      <color rgb="FF000000"/>
      <name val="Calibri"/>
      <family val="2"/>
      <scheme val="minor"/>
    </font>
    <font>
      <b/>
      <sz val="12"/>
      <color rgb="FF000000"/>
      <name val="Calibri"/>
      <family val="2"/>
      <scheme val="minor"/>
    </font>
    <font>
      <b/>
      <sz val="10"/>
      <color rgb="FF000000"/>
      <name val="Calibri"/>
      <family val="2"/>
      <scheme val="minor"/>
    </font>
    <font>
      <b/>
      <sz val="11"/>
      <color rgb="FF000000"/>
      <name val="Calibri"/>
      <family val="2"/>
      <scheme val="minor"/>
    </font>
    <font>
      <sz val="10"/>
      <color rgb="FF000000"/>
      <name val="Times New Roman"/>
      <charset val="204"/>
    </font>
    <font>
      <sz val="16"/>
      <color rgb="FF000000"/>
      <name val="Calibri"/>
      <family val="2"/>
      <scheme val="minor"/>
    </font>
    <font>
      <sz val="12"/>
      <color rgb="FF000000"/>
      <name val="Times New Roman"/>
      <family val="1"/>
    </font>
    <font>
      <b/>
      <sz val="12"/>
      <color theme="2" tint="-0.499984740745262"/>
      <name val="Calibri"/>
      <family val="2"/>
      <scheme val="minor"/>
    </font>
    <font>
      <sz val="12"/>
      <color theme="2" tint="-0.499984740745262"/>
      <name val="Calibri"/>
      <family val="2"/>
      <scheme val="minor"/>
    </font>
    <font>
      <b/>
      <sz val="12"/>
      <color theme="5" tint="-0.249977111117893"/>
      <name val="Calibri"/>
      <family val="2"/>
      <scheme val="minor"/>
    </font>
    <font>
      <sz val="12"/>
      <color theme="5" tint="-0.249977111117893"/>
      <name val="Calibri"/>
      <family val="2"/>
      <scheme val="minor"/>
    </font>
    <font>
      <b/>
      <sz val="12"/>
      <color theme="3" tint="-0.249977111117893"/>
      <name val="Calibri"/>
      <family val="2"/>
      <scheme val="minor"/>
    </font>
    <font>
      <sz val="12"/>
      <color theme="3" tint="-0.249977111117893"/>
      <name val="Calibri"/>
      <family val="2"/>
      <scheme val="minor"/>
    </font>
    <font>
      <b/>
      <sz val="12"/>
      <color rgb="FFFF0000"/>
      <name val="Calibri"/>
      <family val="2"/>
      <scheme val="minor"/>
    </font>
    <font>
      <sz val="14"/>
      <color rgb="FF000000"/>
      <name val="Calibri"/>
      <family val="2"/>
      <scheme val="minor"/>
    </font>
    <font>
      <b/>
      <sz val="14"/>
      <color theme="1"/>
      <name val="Calibri"/>
      <family val="2"/>
      <scheme val="minor"/>
    </font>
    <font>
      <sz val="14"/>
      <color theme="2" tint="-0.499984740745262"/>
      <name val="Calibri"/>
      <family val="2"/>
      <scheme val="minor"/>
    </font>
    <font>
      <b/>
      <sz val="14"/>
      <color theme="2" tint="-0.499984740745262"/>
      <name val="Calibri"/>
      <family val="2"/>
      <scheme val="minor"/>
    </font>
    <font>
      <sz val="14"/>
      <color theme="1"/>
      <name val="Calibri"/>
      <family val="2"/>
      <scheme val="minor"/>
    </font>
    <font>
      <i/>
      <sz val="14"/>
      <color theme="1"/>
      <name val="Calibri"/>
      <family val="2"/>
      <scheme val="minor"/>
    </font>
    <font>
      <b/>
      <sz val="14"/>
      <color theme="5" tint="-0.249977111117893"/>
      <name val="Calibri"/>
      <family val="2"/>
      <scheme val="minor"/>
    </font>
    <font>
      <sz val="14"/>
      <color theme="5" tint="-0.249977111117893"/>
      <name val="Calibri"/>
      <family val="2"/>
      <scheme val="minor"/>
    </font>
    <font>
      <b/>
      <sz val="14"/>
      <color theme="3" tint="-0.249977111117893"/>
      <name val="Calibri"/>
      <family val="2"/>
      <scheme val="minor"/>
    </font>
    <font>
      <sz val="14"/>
      <color theme="3" tint="-0.249977111117893"/>
      <name val="Calibri"/>
      <family val="2"/>
      <scheme val="minor"/>
    </font>
    <font>
      <b/>
      <sz val="14"/>
      <name val="Calibri"/>
      <family val="2"/>
      <scheme val="minor"/>
    </font>
    <font>
      <i/>
      <sz val="12"/>
      <color rgb="FFFF0000"/>
      <name val="Calibri"/>
      <family val="2"/>
      <scheme val="minor"/>
    </font>
    <font>
      <i/>
      <sz val="14"/>
      <color rgb="FFFF0000"/>
      <name val="Calibri"/>
      <family val="2"/>
      <scheme val="minor"/>
    </font>
    <font>
      <b/>
      <sz val="14"/>
      <color rgb="FFFF000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6"/>
      <color rgb="FF9C0006"/>
      <name val="Calibri"/>
      <family val="2"/>
      <scheme val="minor"/>
    </font>
    <font>
      <b/>
      <sz val="16"/>
      <color rgb="FF006100"/>
      <name val="Calibri"/>
      <family val="2"/>
      <scheme val="minor"/>
    </font>
    <font>
      <b/>
      <sz val="16"/>
      <color rgb="FF9C5700"/>
      <name val="Calibri"/>
      <family val="2"/>
      <scheme val="minor"/>
    </font>
    <font>
      <b/>
      <sz val="16"/>
      <color rgb="FF3F3F76"/>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b/>
      <sz val="11"/>
      <name val="Calibri"/>
      <family val="2"/>
      <scheme val="minor"/>
    </font>
    <font>
      <i/>
      <sz val="11"/>
      <color rgb="FFFF0000"/>
      <name val="Calibri"/>
      <family val="2"/>
      <scheme val="minor"/>
    </font>
    <font>
      <sz val="12"/>
      <color rgb="FFFF0000"/>
      <name val="Times New Roman"/>
      <family val="1"/>
    </font>
  </fonts>
  <fills count="20">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D5"/>
        <bgColor indexed="64"/>
      </patternFill>
    </fill>
    <fill>
      <patternFill patternType="solid">
        <fgColor theme="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bgColor indexed="64"/>
      </patternFill>
    </fill>
    <fill>
      <patternFill patternType="solid">
        <fgColor theme="2" tint="-0.499984740745262"/>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92D050"/>
        <bgColor indexed="64"/>
      </patternFill>
    </fill>
    <fill>
      <patternFill patternType="solid">
        <fgColor rgb="FFDCDE9E"/>
        <bgColor indexed="64"/>
      </patternFill>
    </fill>
  </fills>
  <borders count="90">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rgb="FF000000"/>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style="thin">
        <color indexed="64"/>
      </left>
      <right/>
      <top/>
      <bottom style="thin">
        <color rgb="FF000000"/>
      </bottom>
      <diagonal/>
    </border>
    <border>
      <left style="thin">
        <color indexed="64"/>
      </left>
      <right/>
      <top style="thin">
        <color rgb="FF000000"/>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indexed="64"/>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medium">
        <color indexed="64"/>
      </right>
      <top style="thin">
        <color indexed="64"/>
      </top>
      <bottom/>
      <diagonal/>
    </border>
    <border>
      <left style="thin">
        <color rgb="FF000000"/>
      </left>
      <right style="medium">
        <color indexed="64"/>
      </right>
      <top style="thin">
        <color rgb="FF000000"/>
      </top>
      <bottom style="thin">
        <color rgb="FF000000"/>
      </bottom>
      <diagonal/>
    </border>
    <border>
      <left/>
      <right style="medium">
        <color indexed="64"/>
      </right>
      <top/>
      <bottom style="thin">
        <color rgb="FF000000"/>
      </bottom>
      <diagonal/>
    </border>
    <border>
      <left/>
      <right style="medium">
        <color indexed="64"/>
      </right>
      <top style="thin">
        <color indexed="64"/>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rgb="FF000000"/>
      </right>
      <top/>
      <bottom/>
      <diagonal/>
    </border>
    <border>
      <left style="thin">
        <color rgb="FF000000"/>
      </left>
      <right/>
      <top/>
      <bottom/>
      <diagonal/>
    </border>
    <border>
      <left/>
      <right style="thin">
        <color rgb="FF000000"/>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rgb="FF000000"/>
      </left>
      <right style="thin">
        <color rgb="FF000000"/>
      </right>
      <top style="thin">
        <color indexed="64"/>
      </top>
      <bottom style="thin">
        <color rgb="FF000000"/>
      </bottom>
      <diagonal/>
    </border>
    <border>
      <left style="medium">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style="thin">
        <color rgb="FF000000"/>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rgb="FF000000"/>
      </top>
      <bottom style="thin">
        <color indexed="64"/>
      </bottom>
      <diagonal/>
    </border>
  </borders>
  <cellStyleXfs count="8">
    <xf numFmtId="0" fontId="0" fillId="0" borderId="0"/>
    <xf numFmtId="43" fontId="7" fillId="0" borderId="0" applyFont="0" applyFill="0" applyBorder="0" applyAlignment="0" applyProtection="0"/>
    <xf numFmtId="9" fontId="7" fillId="0" borderId="0" applyFont="0" applyFill="0" applyBorder="0" applyAlignment="0" applyProtection="0"/>
    <xf numFmtId="44" fontId="12" fillId="0" borderId="0" applyFont="0" applyFill="0" applyBorder="0" applyAlignment="0" applyProtection="0"/>
    <xf numFmtId="0" fontId="36" fillId="14" borderId="0" applyNumberFormat="0" applyBorder="0" applyAlignment="0" applyProtection="0"/>
    <xf numFmtId="0" fontId="37" fillId="15" borderId="0" applyNumberFormat="0" applyBorder="0" applyAlignment="0" applyProtection="0"/>
    <xf numFmtId="0" fontId="38" fillId="16" borderId="0" applyNumberFormat="0" applyBorder="0" applyAlignment="0" applyProtection="0"/>
    <xf numFmtId="0" fontId="39" fillId="17" borderId="81" applyNumberFormat="0" applyAlignment="0" applyProtection="0"/>
  </cellStyleXfs>
  <cellXfs count="435">
    <xf numFmtId="0" fontId="0" fillId="0" borderId="0" xfId="0" applyFill="1" applyBorder="1" applyAlignment="1">
      <alignment horizontal="left" vertical="top"/>
    </xf>
    <xf numFmtId="0" fontId="1" fillId="0" borderId="0" xfId="0" applyFont="1" applyFill="1" applyBorder="1" applyAlignment="1">
      <alignment horizontal="left" vertical="top"/>
    </xf>
    <xf numFmtId="0" fontId="1" fillId="0" borderId="0" xfId="0" applyFont="1" applyFill="1" applyBorder="1" applyAlignment="1">
      <alignment horizontal="center"/>
    </xf>
    <xf numFmtId="0" fontId="6" fillId="0" borderId="0" xfId="0" applyFont="1" applyFill="1" applyBorder="1" applyAlignment="1">
      <alignment horizontal="left" vertical="top"/>
    </xf>
    <xf numFmtId="0" fontId="5" fillId="0" borderId="0" xfId="0" applyFont="1" applyFill="1" applyBorder="1" applyAlignment="1">
      <alignment horizontal="center" vertical="top"/>
    </xf>
    <xf numFmtId="0" fontId="4" fillId="0" borderId="17" xfId="0" applyFont="1" applyFill="1" applyBorder="1" applyAlignment="1">
      <alignment horizontal="center" vertical="top" wrapText="1"/>
    </xf>
    <xf numFmtId="0" fontId="4" fillId="0" borderId="5"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2" fillId="4" borderId="17" xfId="0" applyFont="1" applyFill="1" applyBorder="1" applyAlignment="1">
      <alignment horizontal="right" vertical="top" wrapText="1"/>
    </xf>
    <xf numFmtId="0" fontId="4" fillId="0" borderId="20" xfId="0" applyFont="1" applyFill="1" applyBorder="1" applyAlignment="1">
      <alignment horizontal="left" vertical="center" wrapText="1"/>
    </xf>
    <xf numFmtId="0" fontId="4" fillId="4" borderId="21" xfId="0" applyFont="1" applyFill="1" applyBorder="1" applyAlignment="1">
      <alignment horizontal="left" vertical="top" wrapText="1"/>
    </xf>
    <xf numFmtId="0" fontId="4" fillId="4" borderId="24" xfId="0" applyFont="1" applyFill="1" applyBorder="1" applyAlignment="1">
      <alignment horizontal="left" vertical="top" wrapText="1"/>
    </xf>
    <xf numFmtId="14" fontId="9" fillId="3" borderId="4" xfId="0" applyNumberFormat="1" applyFont="1" applyFill="1" applyBorder="1" applyAlignment="1">
      <alignment horizontal="center" vertical="center"/>
    </xf>
    <xf numFmtId="0" fontId="4" fillId="0" borderId="11" xfId="0" applyFont="1" applyFill="1" applyBorder="1" applyAlignment="1">
      <alignment horizontal="left" vertical="center" wrapText="1"/>
    </xf>
    <xf numFmtId="0" fontId="13" fillId="0" borderId="0" xfId="0" applyFont="1" applyFill="1" applyBorder="1" applyAlignment="1">
      <alignment horizontal="left" vertical="top"/>
    </xf>
    <xf numFmtId="166" fontId="16" fillId="0" borderId="0" xfId="1" applyNumberFormat="1" applyFont="1" applyFill="1" applyBorder="1" applyProtection="1">
      <protection locked="0"/>
    </xf>
    <xf numFmtId="166" fontId="15" fillId="0" borderId="0" xfId="1" applyNumberFormat="1" applyFont="1" applyFill="1" applyBorder="1" applyProtection="1">
      <protection locked="0"/>
    </xf>
    <xf numFmtId="166" fontId="18" fillId="0" borderId="0" xfId="1" applyNumberFormat="1" applyFont="1" applyFill="1" applyBorder="1" applyProtection="1">
      <protection locked="0"/>
    </xf>
    <xf numFmtId="166" fontId="17" fillId="0" borderId="0" xfId="1" applyNumberFormat="1" applyFont="1" applyFill="1" applyBorder="1" applyProtection="1">
      <protection locked="0"/>
    </xf>
    <xf numFmtId="166" fontId="18" fillId="0" borderId="0" xfId="1" applyNumberFormat="1" applyFont="1" applyFill="1" applyBorder="1" applyProtection="1">
      <protection hidden="1"/>
    </xf>
    <xf numFmtId="166" fontId="19" fillId="0" borderId="0" xfId="1" applyNumberFormat="1" applyFont="1" applyFill="1" applyBorder="1" applyProtection="1">
      <protection locked="0"/>
    </xf>
    <xf numFmtId="0" fontId="13" fillId="0" borderId="0" xfId="0" applyFont="1" applyFill="1" applyBorder="1" applyAlignment="1">
      <alignment horizontal="left" vertical="top"/>
    </xf>
    <xf numFmtId="0" fontId="5" fillId="2" borderId="9" xfId="0" applyFont="1" applyFill="1" applyBorder="1" applyAlignment="1">
      <alignment horizontal="center" vertical="top"/>
    </xf>
    <xf numFmtId="0" fontId="3" fillId="6" borderId="38" xfId="0" applyFont="1" applyFill="1" applyBorder="1" applyAlignment="1">
      <alignment horizontal="center" wrapText="1"/>
    </xf>
    <xf numFmtId="0" fontId="4" fillId="0" borderId="20" xfId="0" applyFont="1" applyFill="1" applyBorder="1" applyAlignment="1">
      <alignment horizontal="center" vertical="center" wrapText="1"/>
    </xf>
    <xf numFmtId="0" fontId="11" fillId="0" borderId="0" xfId="0" applyFont="1" applyFill="1" applyBorder="1" applyAlignment="1">
      <alignment horizontal="center" vertical="center"/>
    </xf>
    <xf numFmtId="0" fontId="4" fillId="0" borderId="8" xfId="0" applyFont="1" applyFill="1" applyBorder="1" applyAlignment="1">
      <alignment horizontal="center" vertical="top" wrapText="1"/>
    </xf>
    <xf numFmtId="164" fontId="2" fillId="0" borderId="0" xfId="0" applyNumberFormat="1" applyFont="1" applyFill="1" applyBorder="1" applyAlignment="1">
      <alignment horizontal="center" vertical="center" wrapText="1"/>
    </xf>
    <xf numFmtId="0" fontId="1" fillId="0" borderId="62" xfId="0" applyFont="1" applyFill="1" applyBorder="1" applyAlignment="1">
      <alignment horizontal="left" vertical="top"/>
    </xf>
    <xf numFmtId="164" fontId="2" fillId="0" borderId="62" xfId="0" applyNumberFormat="1" applyFont="1" applyFill="1" applyBorder="1" applyAlignment="1">
      <alignment horizontal="center" vertical="top" wrapText="1"/>
    </xf>
    <xf numFmtId="0" fontId="4" fillId="0" borderId="7" xfId="0" applyFont="1" applyFill="1" applyBorder="1" applyAlignment="1">
      <alignment horizontal="left" vertical="top" wrapText="1"/>
    </xf>
    <xf numFmtId="0" fontId="5" fillId="2" borderId="6" xfId="0" applyFont="1" applyFill="1" applyBorder="1" applyAlignment="1">
      <alignment horizontal="center" vertical="top"/>
    </xf>
    <xf numFmtId="0" fontId="1" fillId="6" borderId="59" xfId="0" applyFont="1" applyFill="1" applyBorder="1" applyAlignment="1">
      <alignment horizontal="left" vertical="top"/>
    </xf>
    <xf numFmtId="0" fontId="10" fillId="6" borderId="9" xfId="0" applyFont="1" applyFill="1" applyBorder="1" applyAlignment="1">
      <alignment horizontal="center" vertical="center"/>
    </xf>
    <xf numFmtId="0" fontId="1" fillId="6" borderId="9" xfId="0" applyFont="1" applyFill="1" applyBorder="1" applyAlignment="1">
      <alignment horizontal="left" vertical="top"/>
    </xf>
    <xf numFmtId="0" fontId="6" fillId="6" borderId="9" xfId="0" applyFont="1" applyFill="1" applyBorder="1" applyAlignment="1">
      <alignment vertical="top" wrapText="1"/>
    </xf>
    <xf numFmtId="0" fontId="1" fillId="6" borderId="58" xfId="0" applyFont="1" applyFill="1" applyBorder="1" applyAlignment="1">
      <alignment horizontal="left" vertical="top"/>
    </xf>
    <xf numFmtId="10" fontId="10" fillId="6" borderId="17" xfId="0" applyNumberFormat="1" applyFont="1" applyFill="1" applyBorder="1" applyAlignment="1">
      <alignment horizontal="center" vertical="center"/>
    </xf>
    <xf numFmtId="0" fontId="1" fillId="6" borderId="17" xfId="0" applyFont="1" applyFill="1" applyBorder="1" applyAlignment="1">
      <alignment horizontal="left" vertical="top"/>
    </xf>
    <xf numFmtId="0" fontId="1" fillId="6" borderId="60" xfId="0" applyFont="1" applyFill="1" applyBorder="1" applyAlignment="1">
      <alignment horizontal="left" vertical="top"/>
    </xf>
    <xf numFmtId="0" fontId="1" fillId="6" borderId="29" xfId="0" applyFont="1" applyFill="1" applyBorder="1" applyAlignment="1">
      <alignment horizontal="left" vertical="top"/>
    </xf>
    <xf numFmtId="0" fontId="1" fillId="6" borderId="61" xfId="0" applyFont="1" applyFill="1" applyBorder="1" applyAlignment="1">
      <alignment horizontal="left" vertical="top"/>
    </xf>
    <xf numFmtId="0" fontId="6" fillId="0" borderId="55" xfId="0" applyFont="1" applyFill="1" applyBorder="1" applyAlignment="1">
      <alignment horizontal="center" vertical="center"/>
    </xf>
    <xf numFmtId="0" fontId="6" fillId="0" borderId="62" xfId="0" applyFont="1" applyFill="1" applyBorder="1" applyAlignment="1">
      <alignment horizontal="center" vertical="center"/>
    </xf>
    <xf numFmtId="0" fontId="6" fillId="0" borderId="57" xfId="0" applyFont="1" applyFill="1" applyBorder="1" applyAlignment="1">
      <alignment horizontal="center" vertical="top"/>
    </xf>
    <xf numFmtId="0" fontId="6" fillId="0" borderId="43" xfId="0" applyFont="1" applyFill="1" applyBorder="1" applyAlignment="1">
      <alignment horizontal="center" vertical="top"/>
    </xf>
    <xf numFmtId="1" fontId="6" fillId="0" borderId="0" xfId="0" applyNumberFormat="1" applyFont="1" applyFill="1" applyBorder="1" applyAlignment="1">
      <alignment horizontal="center" vertical="top"/>
    </xf>
    <xf numFmtId="0" fontId="6" fillId="0" borderId="71" xfId="0" applyFont="1" applyFill="1" applyBorder="1" applyAlignment="1">
      <alignment horizontal="center" vertical="top"/>
    </xf>
    <xf numFmtId="1" fontId="6" fillId="0" borderId="57" xfId="0" applyNumberFormat="1" applyFont="1" applyFill="1" applyBorder="1" applyAlignment="1">
      <alignment horizontal="center" vertical="top"/>
    </xf>
    <xf numFmtId="1" fontId="6" fillId="0" borderId="43" xfId="0" applyNumberFormat="1" applyFont="1" applyFill="1" applyBorder="1" applyAlignment="1">
      <alignment horizontal="center" vertical="top"/>
    </xf>
    <xf numFmtId="1" fontId="6" fillId="0" borderId="71" xfId="0" applyNumberFormat="1" applyFont="1" applyFill="1" applyBorder="1" applyAlignment="1">
      <alignment horizontal="center" vertical="top"/>
    </xf>
    <xf numFmtId="0" fontId="22" fillId="0" borderId="30" xfId="0" applyFont="1" applyFill="1" applyBorder="1" applyAlignment="1">
      <alignment horizontal="center" vertical="top"/>
    </xf>
    <xf numFmtId="0" fontId="22" fillId="0" borderId="32" xfId="0" applyFont="1" applyFill="1" applyBorder="1" applyAlignment="1">
      <alignment horizontal="center" vertical="top"/>
    </xf>
    <xf numFmtId="0" fontId="22" fillId="0" borderId="52" xfId="0" applyFont="1" applyFill="1" applyBorder="1" applyAlignment="1">
      <alignment horizontal="center" vertical="top"/>
    </xf>
    <xf numFmtId="0" fontId="6" fillId="2" borderId="67" xfId="0" applyFont="1" applyFill="1" applyBorder="1" applyAlignment="1">
      <alignment horizontal="center" vertical="center"/>
    </xf>
    <xf numFmtId="0" fontId="6" fillId="2" borderId="69" xfId="0" applyFont="1" applyFill="1" applyBorder="1" applyAlignment="1">
      <alignment horizontal="center" vertical="center" wrapText="1"/>
    </xf>
    <xf numFmtId="0" fontId="6" fillId="2" borderId="44" xfId="0" applyFont="1" applyFill="1" applyBorder="1" applyAlignment="1">
      <alignment horizontal="center" vertical="center" wrapText="1"/>
    </xf>
    <xf numFmtId="0" fontId="6" fillId="2" borderId="66" xfId="0" applyFont="1" applyFill="1" applyBorder="1" applyAlignment="1">
      <alignment horizontal="center" vertical="center" wrapText="1"/>
    </xf>
    <xf numFmtId="0" fontId="6" fillId="2" borderId="68" xfId="0" applyFont="1" applyFill="1" applyBorder="1" applyAlignment="1">
      <alignment horizontal="center" vertical="center" wrapText="1"/>
    </xf>
    <xf numFmtId="0" fontId="22" fillId="2" borderId="67" xfId="0" applyFont="1" applyFill="1" applyBorder="1" applyAlignment="1">
      <alignment horizontal="center" vertical="center"/>
    </xf>
    <xf numFmtId="0" fontId="6" fillId="2" borderId="68" xfId="0" applyFont="1" applyFill="1" applyBorder="1" applyAlignment="1">
      <alignment horizontal="center" vertical="top"/>
    </xf>
    <xf numFmtId="1" fontId="6" fillId="2" borderId="68" xfId="0" applyNumberFormat="1" applyFont="1" applyFill="1" applyBorder="1" applyAlignment="1">
      <alignment horizontal="center" vertical="top"/>
    </xf>
    <xf numFmtId="1" fontId="6" fillId="2" borderId="70" xfId="0" applyNumberFormat="1" applyFont="1" applyFill="1" applyBorder="1" applyAlignment="1">
      <alignment horizontal="center" vertical="top"/>
    </xf>
    <xf numFmtId="0" fontId="5" fillId="0" borderId="0" xfId="0" applyFont="1" applyFill="1" applyBorder="1" applyAlignment="1">
      <alignment horizontal="left" vertical="top"/>
    </xf>
    <xf numFmtId="0" fontId="5" fillId="0" borderId="0" xfId="0" applyFont="1" applyFill="1" applyBorder="1" applyAlignment="1">
      <alignment horizontal="left" vertical="top"/>
    </xf>
    <xf numFmtId="0" fontId="23" fillId="0" borderId="4" xfId="0" applyFont="1" applyFill="1" applyBorder="1" applyAlignment="1" applyProtection="1">
      <protection locked="0"/>
    </xf>
    <xf numFmtId="0" fontId="24" fillId="0" borderId="4" xfId="0" applyFont="1" applyFill="1" applyBorder="1" applyProtection="1">
      <protection locked="0"/>
    </xf>
    <xf numFmtId="44" fontId="24" fillId="0" borderId="4" xfId="3" applyFont="1" applyFill="1" applyBorder="1" applyProtection="1">
      <protection locked="0"/>
    </xf>
    <xf numFmtId="44" fontId="26" fillId="0" borderId="4" xfId="3" applyFont="1" applyFill="1" applyBorder="1" applyProtection="1">
      <protection hidden="1"/>
    </xf>
    <xf numFmtId="0" fontId="23" fillId="0" borderId="4" xfId="0" applyFont="1" applyFill="1" applyBorder="1" applyAlignment="1" applyProtection="1">
      <alignment horizontal="left"/>
      <protection locked="0"/>
    </xf>
    <xf numFmtId="44" fontId="26" fillId="0" borderId="4" xfId="3" applyFont="1" applyFill="1" applyBorder="1" applyProtection="1">
      <protection locked="0"/>
    </xf>
    <xf numFmtId="44" fontId="27" fillId="0" borderId="4" xfId="3" applyFont="1" applyFill="1" applyBorder="1" applyAlignment="1" applyProtection="1">
      <alignment horizontal="center"/>
      <protection locked="0"/>
    </xf>
    <xf numFmtId="0" fontId="23" fillId="0" borderId="4" xfId="0" applyFont="1" applyFill="1" applyBorder="1" applyAlignment="1" applyProtection="1">
      <alignment horizontal="center"/>
      <protection locked="0"/>
    </xf>
    <xf numFmtId="0" fontId="13" fillId="0" borderId="54" xfId="0" applyFont="1" applyFill="1" applyBorder="1" applyAlignment="1">
      <alignment horizontal="left" vertical="top"/>
    </xf>
    <xf numFmtId="0" fontId="13" fillId="0" borderId="52" xfId="0" applyFont="1" applyFill="1" applyBorder="1" applyAlignment="1">
      <alignment horizontal="left" vertical="top"/>
    </xf>
    <xf numFmtId="0" fontId="13" fillId="0" borderId="72" xfId="0" applyFont="1" applyFill="1" applyBorder="1" applyAlignment="1">
      <alignment horizontal="left" vertical="top"/>
    </xf>
    <xf numFmtId="0" fontId="13" fillId="0" borderId="48" xfId="0" applyFont="1" applyFill="1" applyBorder="1" applyAlignment="1">
      <alignment horizontal="left" vertical="top"/>
    </xf>
    <xf numFmtId="0" fontId="13" fillId="0" borderId="49" xfId="0" applyFont="1" applyFill="1" applyBorder="1" applyAlignment="1">
      <alignment horizontal="left" vertical="top"/>
    </xf>
    <xf numFmtId="0" fontId="13" fillId="0" borderId="48" xfId="0" applyFont="1" applyFill="1" applyBorder="1" applyAlignment="1">
      <alignment horizontal="left"/>
    </xf>
    <xf numFmtId="0" fontId="13" fillId="0" borderId="34" xfId="0" applyFont="1" applyFill="1" applyBorder="1" applyAlignment="1">
      <alignment horizontal="left" vertical="top"/>
    </xf>
    <xf numFmtId="0" fontId="13" fillId="0" borderId="51" xfId="0" applyFont="1" applyFill="1" applyBorder="1" applyAlignment="1">
      <alignment horizontal="left" vertical="top"/>
    </xf>
    <xf numFmtId="0" fontId="13" fillId="0" borderId="33" xfId="0" applyFont="1" applyFill="1" applyBorder="1" applyAlignment="1">
      <alignment horizontal="left" vertical="top"/>
    </xf>
    <xf numFmtId="9" fontId="4" fillId="7" borderId="4" xfId="0" applyNumberFormat="1" applyFont="1" applyFill="1" applyBorder="1" applyAlignment="1">
      <alignment horizontal="center" vertical="center" wrapText="1"/>
    </xf>
    <xf numFmtId="9" fontId="4" fillId="7" borderId="5" xfId="0" applyNumberFormat="1" applyFont="1" applyFill="1" applyBorder="1" applyAlignment="1">
      <alignment horizontal="center" vertical="center" wrapText="1"/>
    </xf>
    <xf numFmtId="164" fontId="4" fillId="7" borderId="17" xfId="0" applyNumberFormat="1" applyFont="1" applyFill="1" applyBorder="1" applyAlignment="1">
      <alignment horizontal="center" vertical="center" wrapText="1"/>
    </xf>
    <xf numFmtId="10" fontId="4" fillId="0" borderId="17" xfId="0" applyNumberFormat="1" applyFont="1" applyFill="1" applyBorder="1" applyAlignment="1">
      <alignment horizontal="center" vertical="center" wrapText="1"/>
    </xf>
    <xf numFmtId="9" fontId="4" fillId="0" borderId="17" xfId="0" applyNumberFormat="1" applyFont="1" applyFill="1" applyBorder="1" applyAlignment="1">
      <alignment horizontal="center" vertical="center" wrapText="1"/>
    </xf>
    <xf numFmtId="0" fontId="5" fillId="8" borderId="0" xfId="0" applyFont="1" applyFill="1" applyBorder="1" applyAlignment="1">
      <alignment horizontal="left" vertical="top"/>
    </xf>
    <xf numFmtId="0" fontId="5" fillId="9" borderId="0" xfId="0" applyFont="1" applyFill="1" applyBorder="1" applyAlignment="1">
      <alignment horizontal="left" vertical="top"/>
    </xf>
    <xf numFmtId="0" fontId="5" fillId="10" borderId="0" xfId="0" applyFont="1" applyFill="1" applyBorder="1" applyAlignment="1">
      <alignment horizontal="left" vertical="top"/>
    </xf>
    <xf numFmtId="44" fontId="23" fillId="0" borderId="4" xfId="3" applyFont="1" applyFill="1" applyBorder="1" applyProtection="1">
      <protection hidden="1"/>
    </xf>
    <xf numFmtId="44" fontId="35" fillId="0" borderId="4" xfId="3" applyFont="1" applyFill="1" applyBorder="1" applyProtection="1">
      <protection hidden="1"/>
    </xf>
    <xf numFmtId="44" fontId="23" fillId="3" borderId="4" xfId="3" applyFont="1" applyFill="1" applyBorder="1" applyProtection="1">
      <protection hidden="1"/>
    </xf>
    <xf numFmtId="0" fontId="8" fillId="3" borderId="0" xfId="0" applyFont="1" applyFill="1" applyBorder="1" applyAlignment="1" applyProtection="1">
      <alignment horizontal="left" vertical="top"/>
      <protection locked="0"/>
    </xf>
    <xf numFmtId="0" fontId="9" fillId="3" borderId="0" xfId="0" applyFont="1" applyFill="1" applyBorder="1" applyAlignment="1" applyProtection="1">
      <alignment horizontal="left" vertical="top"/>
      <protection locked="0"/>
    </xf>
    <xf numFmtId="0" fontId="6" fillId="0" borderId="0" xfId="0" applyFont="1" applyFill="1" applyBorder="1" applyAlignment="1" applyProtection="1">
      <alignment horizontal="left" vertical="top"/>
      <protection locked="0"/>
    </xf>
    <xf numFmtId="0" fontId="0" fillId="0" borderId="0" xfId="0" applyFill="1" applyBorder="1" applyAlignment="1" applyProtection="1">
      <alignment horizontal="left" vertical="top"/>
      <protection locked="0"/>
    </xf>
    <xf numFmtId="0" fontId="9" fillId="3" borderId="0" xfId="0" applyFont="1" applyFill="1" applyBorder="1" applyAlignment="1" applyProtection="1">
      <alignment horizontal="center" vertical="top"/>
      <protection locked="0"/>
    </xf>
    <xf numFmtId="0" fontId="23" fillId="0" borderId="4" xfId="0" applyFont="1" applyFill="1" applyBorder="1" applyAlignment="1" applyProtection="1">
      <alignment horizontal="center" vertical="center"/>
      <protection locked="0"/>
    </xf>
    <xf numFmtId="44" fontId="25" fillId="0" borderId="4" xfId="3" applyFont="1" applyFill="1" applyBorder="1" applyProtection="1">
      <protection locked="0"/>
    </xf>
    <xf numFmtId="0" fontId="26" fillId="0" borderId="4" xfId="0" applyFont="1" applyFill="1" applyBorder="1" applyAlignment="1" applyProtection="1">
      <alignment horizontal="left"/>
      <protection locked="0"/>
    </xf>
    <xf numFmtId="0" fontId="26" fillId="0" borderId="4" xfId="0" applyFont="1" applyFill="1" applyBorder="1" applyAlignment="1" applyProtection="1">
      <alignment horizontal="center"/>
      <protection locked="0"/>
    </xf>
    <xf numFmtId="44" fontId="23" fillId="0" borderId="4" xfId="3" applyFont="1" applyFill="1" applyBorder="1" applyProtection="1">
      <protection locked="0"/>
    </xf>
    <xf numFmtId="0" fontId="25" fillId="4" borderId="4" xfId="0" applyFont="1" applyFill="1" applyBorder="1" applyAlignment="1" applyProtection="1">
      <alignment horizontal="center"/>
      <protection locked="0"/>
    </xf>
    <xf numFmtId="0" fontId="24" fillId="4" borderId="4" xfId="0" applyFont="1" applyFill="1" applyBorder="1" applyAlignment="1" applyProtection="1">
      <alignment horizontal="center"/>
      <protection locked="0"/>
    </xf>
    <xf numFmtId="44" fontId="23" fillId="4" borderId="4" xfId="3" applyFont="1" applyFill="1" applyBorder="1" applyProtection="1">
      <protection locked="0"/>
    </xf>
    <xf numFmtId="0" fontId="28" fillId="4" borderId="4" xfId="0" applyFont="1" applyFill="1" applyBorder="1" applyAlignment="1" applyProtection="1">
      <alignment horizontal="center"/>
      <protection locked="0"/>
    </xf>
    <xf numFmtId="0" fontId="29" fillId="4" borderId="4" xfId="0" applyFont="1" applyFill="1" applyBorder="1" applyAlignment="1" applyProtection="1">
      <alignment horizontal="center"/>
      <protection locked="0"/>
    </xf>
    <xf numFmtId="166" fontId="20" fillId="0" borderId="0" xfId="1" applyNumberFormat="1" applyFont="1" applyFill="1" applyBorder="1" applyProtection="1">
      <protection locked="0"/>
    </xf>
    <xf numFmtId="0" fontId="30" fillId="0" borderId="4" xfId="0" applyFont="1" applyFill="1" applyBorder="1" applyAlignment="1" applyProtection="1">
      <alignment horizontal="center"/>
      <protection locked="0"/>
    </xf>
    <xf numFmtId="0" fontId="31" fillId="0" borderId="4" xfId="0" applyFont="1" applyFill="1" applyBorder="1" applyAlignment="1" applyProtection="1">
      <alignment horizontal="left"/>
      <protection locked="0"/>
    </xf>
    <xf numFmtId="0" fontId="32" fillId="3" borderId="4" xfId="0" applyFont="1" applyFill="1" applyBorder="1" applyAlignment="1" applyProtection="1">
      <alignment horizontal="left"/>
      <protection locked="0"/>
    </xf>
    <xf numFmtId="0" fontId="31" fillId="3" borderId="4" xfId="0" applyFont="1" applyFill="1" applyBorder="1" applyAlignment="1" applyProtection="1">
      <alignment horizontal="left"/>
      <protection locked="0"/>
    </xf>
    <xf numFmtId="166" fontId="4" fillId="0" borderId="0" xfId="1" applyNumberFormat="1" applyFont="1" applyFill="1" applyBorder="1" applyProtection="1">
      <protection locked="0"/>
    </xf>
    <xf numFmtId="0" fontId="23" fillId="3" borderId="4" xfId="0" applyFont="1" applyFill="1" applyBorder="1" applyAlignment="1" applyProtection="1">
      <alignment horizontal="left"/>
      <protection locked="0"/>
    </xf>
    <xf numFmtId="166" fontId="16" fillId="0" borderId="0" xfId="1" applyNumberFormat="1" applyFont="1" applyFill="1" applyBorder="1" applyProtection="1"/>
    <xf numFmtId="0" fontId="13" fillId="0" borderId="0" xfId="0" applyFont="1" applyFill="1" applyBorder="1" applyAlignment="1">
      <alignment horizontal="left" vertical="top" wrapText="1"/>
    </xf>
    <xf numFmtId="0" fontId="5" fillId="13" borderId="0" xfId="0" applyFont="1" applyFill="1" applyBorder="1" applyAlignment="1">
      <alignment horizontal="left" vertical="top"/>
    </xf>
    <xf numFmtId="0" fontId="0" fillId="0" borderId="0" xfId="0" applyFill="1" applyBorder="1" applyAlignment="1" applyProtection="1">
      <alignment horizontal="left" vertical="top"/>
      <protection hidden="1"/>
    </xf>
    <xf numFmtId="0" fontId="5" fillId="2" borderId="9" xfId="0" applyFont="1" applyFill="1" applyBorder="1" applyAlignment="1">
      <alignment horizontal="center" vertical="top"/>
    </xf>
    <xf numFmtId="0" fontId="9" fillId="0" borderId="20" xfId="0" applyFont="1" applyFill="1" applyBorder="1" applyAlignment="1">
      <alignment horizontal="center" vertical="center"/>
    </xf>
    <xf numFmtId="164" fontId="4" fillId="4" borderId="23" xfId="0" applyNumberFormat="1" applyFont="1" applyFill="1" applyBorder="1" applyAlignment="1">
      <alignment horizontal="center" vertical="center" wrapText="1"/>
    </xf>
    <xf numFmtId="0" fontId="9" fillId="0" borderId="0" xfId="0" applyFont="1" applyFill="1" applyBorder="1" applyAlignment="1">
      <alignment horizontal="center" vertical="center"/>
    </xf>
    <xf numFmtId="44" fontId="6" fillId="3" borderId="4" xfId="3" applyFont="1" applyFill="1" applyBorder="1" applyAlignment="1" applyProtection="1">
      <alignment horizontal="center"/>
      <protection hidden="1"/>
    </xf>
    <xf numFmtId="0" fontId="6" fillId="0" borderId="0" xfId="0" applyFont="1" applyFill="1" applyBorder="1" applyAlignment="1" applyProtection="1">
      <alignment horizontal="center" vertical="center"/>
      <protection hidden="1"/>
    </xf>
    <xf numFmtId="0" fontId="0" fillId="4" borderId="0" xfId="0" applyFill="1" applyBorder="1" applyAlignment="1" applyProtection="1">
      <alignment horizontal="left" vertical="top"/>
      <protection locked="0"/>
    </xf>
    <xf numFmtId="0" fontId="14" fillId="4" borderId="0" xfId="0" applyFont="1" applyFill="1" applyBorder="1" applyAlignment="1" applyProtection="1">
      <alignment horizontal="left" vertical="top"/>
      <protection locked="0"/>
    </xf>
    <xf numFmtId="0" fontId="9" fillId="4" borderId="30" xfId="0" applyFont="1" applyFill="1" applyBorder="1" applyAlignment="1" applyProtection="1">
      <alignment horizontal="right" vertical="center" wrapText="1"/>
      <protection locked="0"/>
    </xf>
    <xf numFmtId="0" fontId="9" fillId="4" borderId="31" xfId="0" applyFont="1" applyFill="1" applyBorder="1" applyAlignment="1" applyProtection="1">
      <alignment horizontal="center" vertical="center" wrapText="1"/>
      <protection locked="0"/>
    </xf>
    <xf numFmtId="0" fontId="9" fillId="4" borderId="44" xfId="0" applyFont="1" applyFill="1" applyBorder="1" applyAlignment="1" applyProtection="1">
      <alignment horizontal="center" vertical="center"/>
      <protection locked="0"/>
    </xf>
    <xf numFmtId="10" fontId="4" fillId="4" borderId="28" xfId="0" applyNumberFormat="1" applyFont="1" applyFill="1" applyBorder="1" applyAlignment="1" applyProtection="1">
      <alignment horizontal="right" vertical="center" wrapText="1"/>
      <protection locked="0"/>
    </xf>
    <xf numFmtId="10" fontId="4" fillId="4" borderId="28" xfId="0" applyNumberFormat="1" applyFont="1" applyFill="1" applyBorder="1" applyAlignment="1" applyProtection="1">
      <alignment horizontal="center" vertical="center" wrapText="1"/>
      <protection locked="0"/>
    </xf>
    <xf numFmtId="0" fontId="9" fillId="4" borderId="41" xfId="0" applyFont="1" applyFill="1" applyBorder="1" applyAlignment="1" applyProtection="1">
      <alignment horizontal="left" vertical="center"/>
      <protection locked="0"/>
    </xf>
    <xf numFmtId="165" fontId="4" fillId="4" borderId="28" xfId="0" applyNumberFormat="1" applyFont="1" applyFill="1" applyBorder="1" applyAlignment="1" applyProtection="1">
      <alignment horizontal="center" vertical="center" wrapText="1"/>
      <protection locked="0"/>
    </xf>
    <xf numFmtId="10" fontId="4" fillId="4" borderId="73" xfId="0" applyNumberFormat="1" applyFont="1" applyFill="1" applyBorder="1" applyAlignment="1" applyProtection="1">
      <alignment horizontal="center" vertical="center" wrapText="1"/>
      <protection locked="0"/>
    </xf>
    <xf numFmtId="10" fontId="4" fillId="4" borderId="44" xfId="0" applyNumberFormat="1" applyFont="1" applyFill="1" applyBorder="1" applyAlignment="1" applyProtection="1">
      <alignment horizontal="right" vertical="center" wrapText="1"/>
      <protection locked="0"/>
    </xf>
    <xf numFmtId="10" fontId="4" fillId="4" borderId="44" xfId="0" applyNumberFormat="1" applyFont="1" applyFill="1" applyBorder="1" applyAlignment="1" applyProtection="1">
      <alignment horizontal="center" vertical="center" wrapText="1"/>
      <protection locked="0"/>
    </xf>
    <xf numFmtId="0" fontId="9" fillId="4" borderId="74" xfId="0" applyFont="1" applyFill="1" applyBorder="1" applyAlignment="1" applyProtection="1">
      <alignment horizontal="left" vertical="center"/>
      <protection locked="0"/>
    </xf>
    <xf numFmtId="9" fontId="4" fillId="4" borderId="44" xfId="0" applyNumberFormat="1" applyFont="1" applyFill="1" applyBorder="1" applyAlignment="1" applyProtection="1">
      <alignment horizontal="center" vertical="center" wrapText="1"/>
      <protection locked="0"/>
    </xf>
    <xf numFmtId="10" fontId="4" fillId="4" borderId="31" xfId="0" applyNumberFormat="1" applyFont="1" applyFill="1" applyBorder="1" applyAlignment="1" applyProtection="1">
      <alignment horizontal="center" vertical="center" wrapText="1"/>
      <protection locked="0"/>
    </xf>
    <xf numFmtId="0" fontId="9" fillId="4" borderId="0" xfId="0" applyFont="1" applyFill="1" applyBorder="1" applyAlignment="1" applyProtection="1">
      <alignment horizontal="center" vertical="center"/>
      <protection locked="0"/>
    </xf>
    <xf numFmtId="0" fontId="1" fillId="4" borderId="0" xfId="0"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0" fillId="0" borderId="0" xfId="0" applyFill="1" applyBorder="1" applyAlignment="1" applyProtection="1">
      <alignment horizontal="center" vertical="center"/>
      <protection locked="0"/>
    </xf>
    <xf numFmtId="10" fontId="4" fillId="4" borderId="0" xfId="0" applyNumberFormat="1" applyFont="1" applyFill="1" applyBorder="1" applyAlignment="1" applyProtection="1">
      <alignment horizontal="center" vertical="center" wrapText="1"/>
      <protection locked="0"/>
    </xf>
    <xf numFmtId="0" fontId="9" fillId="4" borderId="4" xfId="0" applyFont="1" applyFill="1" applyBorder="1" applyAlignment="1" applyProtection="1">
      <alignment horizontal="center" vertical="center" wrapText="1"/>
      <protection locked="0"/>
    </xf>
    <xf numFmtId="9" fontId="4" fillId="4" borderId="0" xfId="0" applyNumberFormat="1" applyFont="1" applyFill="1" applyBorder="1" applyAlignment="1" applyProtection="1">
      <alignment horizontal="center" vertical="center" wrapText="1"/>
      <protection locked="0"/>
    </xf>
    <xf numFmtId="2" fontId="4" fillId="4" borderId="4" xfId="2" applyNumberFormat="1" applyFont="1" applyFill="1" applyBorder="1" applyAlignment="1" applyProtection="1">
      <alignment horizontal="center" vertical="center" wrapText="1"/>
      <protection locked="0"/>
    </xf>
    <xf numFmtId="0" fontId="4" fillId="4" borderId="4" xfId="0" applyFont="1" applyFill="1" applyBorder="1" applyAlignment="1" applyProtection="1">
      <alignment horizontal="center" vertical="center" wrapText="1"/>
      <protection locked="0"/>
    </xf>
    <xf numFmtId="2" fontId="4" fillId="5" borderId="4" xfId="2" applyNumberFormat="1" applyFont="1" applyFill="1" applyBorder="1" applyAlignment="1" applyProtection="1">
      <alignment horizontal="center" vertical="center" wrapText="1"/>
      <protection locked="0"/>
    </xf>
    <xf numFmtId="0" fontId="9" fillId="4" borderId="50" xfId="0" applyFont="1" applyFill="1" applyBorder="1" applyAlignment="1" applyProtection="1">
      <alignment horizontal="center" vertical="center" wrapText="1"/>
      <protection locked="0"/>
    </xf>
    <xf numFmtId="0" fontId="14" fillId="4" borderId="20" xfId="0" applyFont="1" applyFill="1" applyBorder="1" applyAlignment="1" applyProtection="1">
      <alignment horizontal="left" vertical="top"/>
      <protection locked="0"/>
    </xf>
    <xf numFmtId="2" fontId="4" fillId="4" borderId="4" xfId="0" applyNumberFormat="1" applyFont="1" applyFill="1" applyBorder="1" applyAlignment="1" applyProtection="1">
      <alignment horizontal="center" vertical="center" wrapText="1"/>
      <protection locked="0"/>
    </xf>
    <xf numFmtId="0" fontId="14" fillId="4" borderId="17" xfId="0" applyFont="1" applyFill="1" applyBorder="1" applyAlignment="1" applyProtection="1">
      <alignment horizontal="left" vertical="top"/>
      <protection locked="0"/>
    </xf>
    <xf numFmtId="9" fontId="4" fillId="4" borderId="4" xfId="0" applyNumberFormat="1" applyFont="1" applyFill="1" applyBorder="1" applyAlignment="1" applyProtection="1">
      <alignment horizontal="center" vertical="center" wrapText="1"/>
      <protection locked="0"/>
    </xf>
    <xf numFmtId="167" fontId="4" fillId="5" borderId="4" xfId="3" applyNumberFormat="1" applyFont="1" applyFill="1" applyBorder="1" applyAlignment="1" applyProtection="1">
      <alignment horizontal="left" vertical="center" wrapText="1"/>
      <protection locked="0"/>
    </xf>
    <xf numFmtId="10" fontId="4" fillId="4" borderId="17" xfId="0" applyNumberFormat="1" applyFont="1" applyFill="1" applyBorder="1" applyAlignment="1" applyProtection="1">
      <alignment horizontal="center" vertical="center" wrapText="1"/>
      <protection locked="0"/>
    </xf>
    <xf numFmtId="0" fontId="3" fillId="3" borderId="45" xfId="0" applyFont="1" applyFill="1" applyBorder="1" applyAlignment="1" applyProtection="1">
      <alignment horizontal="center" wrapText="1"/>
      <protection locked="0"/>
    </xf>
    <xf numFmtId="0" fontId="4" fillId="3" borderId="46" xfId="0" applyFont="1" applyFill="1" applyBorder="1" applyAlignment="1" applyProtection="1">
      <alignment horizontal="center" wrapText="1"/>
      <protection locked="0"/>
    </xf>
    <xf numFmtId="49" fontId="4" fillId="3" borderId="43" xfId="0" applyNumberFormat="1" applyFont="1" applyFill="1" applyBorder="1" applyAlignment="1" applyProtection="1">
      <alignment horizontal="center" wrapText="1"/>
      <protection locked="0"/>
    </xf>
    <xf numFmtId="0" fontId="9" fillId="3" borderId="0" xfId="0" applyFont="1" applyFill="1" applyBorder="1" applyAlignment="1" applyProtection="1">
      <alignment horizontal="center" wrapText="1"/>
      <protection locked="0"/>
    </xf>
    <xf numFmtId="0" fontId="9" fillId="3" borderId="4" xfId="0" applyFont="1" applyFill="1" applyBorder="1" applyAlignment="1" applyProtection="1">
      <alignment horizontal="center" wrapText="1"/>
      <protection locked="0"/>
    </xf>
    <xf numFmtId="0" fontId="9" fillId="3" borderId="25" xfId="0" applyFont="1" applyFill="1" applyBorder="1" applyAlignment="1" applyProtection="1">
      <alignment horizontal="center" wrapText="1"/>
      <protection locked="0"/>
    </xf>
    <xf numFmtId="0" fontId="4" fillId="3" borderId="6" xfId="0" applyFont="1" applyFill="1" applyBorder="1" applyAlignment="1" applyProtection="1">
      <alignment horizontal="center" wrapText="1"/>
      <protection locked="0"/>
    </xf>
    <xf numFmtId="0" fontId="9" fillId="3" borderId="12" xfId="0" applyFont="1" applyFill="1" applyBorder="1" applyAlignment="1" applyProtection="1">
      <alignment horizontal="center" wrapText="1"/>
      <protection locked="0"/>
    </xf>
    <xf numFmtId="0" fontId="9" fillId="3" borderId="37" xfId="0" applyFont="1" applyFill="1" applyBorder="1" applyAlignment="1" applyProtection="1">
      <alignment horizontal="center" wrapText="1"/>
      <protection locked="0"/>
    </xf>
    <xf numFmtId="0" fontId="9" fillId="3" borderId="5" xfId="0" applyFont="1" applyFill="1" applyBorder="1" applyAlignment="1" applyProtection="1">
      <alignment horizontal="center" wrapText="1"/>
      <protection locked="0"/>
    </xf>
    <xf numFmtId="44" fontId="6" fillId="4" borderId="4" xfId="3" applyNumberFormat="1" applyFont="1" applyFill="1" applyBorder="1" applyAlignment="1" applyProtection="1">
      <alignment horizontal="center"/>
      <protection locked="0"/>
    </xf>
    <xf numFmtId="0" fontId="0" fillId="0" borderId="11" xfId="0" applyFill="1" applyBorder="1" applyAlignment="1" applyProtection="1">
      <alignment horizontal="left" vertical="top"/>
      <protection locked="0"/>
    </xf>
    <xf numFmtId="0" fontId="14" fillId="0" borderId="18" xfId="0" applyFont="1" applyFill="1" applyBorder="1" applyAlignment="1" applyProtection="1">
      <alignment horizontal="left" vertical="top"/>
      <protection locked="0"/>
    </xf>
    <xf numFmtId="44" fontId="6" fillId="0" borderId="0" xfId="3"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protection locked="0"/>
    </xf>
    <xf numFmtId="0" fontId="14" fillId="0" borderId="0" xfId="0" applyFont="1" applyFill="1" applyBorder="1" applyAlignment="1" applyProtection="1">
      <alignment horizontal="left" vertical="top"/>
      <protection locked="0"/>
    </xf>
    <xf numFmtId="0" fontId="1" fillId="0" borderId="0" xfId="0" applyFont="1" applyFill="1" applyBorder="1" applyAlignment="1" applyProtection="1">
      <alignment horizontal="left" vertical="top"/>
      <protection locked="0"/>
    </xf>
    <xf numFmtId="14" fontId="9" fillId="7" borderId="17" xfId="0" applyNumberFormat="1" applyFont="1" applyFill="1" applyBorder="1" applyAlignment="1">
      <alignment horizontal="center" vertical="center"/>
    </xf>
    <xf numFmtId="0" fontId="4" fillId="4" borderId="0" xfId="0" applyFont="1" applyFill="1" applyBorder="1" applyAlignment="1">
      <alignment horizontal="left" vertical="top" wrapText="1"/>
    </xf>
    <xf numFmtId="0" fontId="3" fillId="3" borderId="13" xfId="0" applyFont="1" applyFill="1" applyBorder="1" applyAlignment="1">
      <alignment horizontal="center" wrapText="1"/>
    </xf>
    <xf numFmtId="0" fontId="3" fillId="3" borderId="3" xfId="0" applyFont="1" applyFill="1" applyBorder="1" applyAlignment="1">
      <alignment horizontal="center" wrapText="1"/>
    </xf>
    <xf numFmtId="0" fontId="3" fillId="3" borderId="75" xfId="0" applyFont="1" applyFill="1" applyBorder="1" applyAlignment="1">
      <alignment horizontal="center" wrapText="1"/>
    </xf>
    <xf numFmtId="0" fontId="3" fillId="3" borderId="22" xfId="0" applyFont="1" applyFill="1" applyBorder="1" applyAlignment="1">
      <alignment horizontal="center"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22" xfId="0" applyFont="1" applyFill="1" applyBorder="1" applyAlignment="1">
      <alignment horizontal="center" wrapText="1"/>
    </xf>
    <xf numFmtId="0" fontId="6" fillId="2" borderId="32" xfId="0" applyFont="1" applyFill="1" applyBorder="1" applyAlignment="1">
      <alignment horizontal="center" vertical="center"/>
    </xf>
    <xf numFmtId="0" fontId="22" fillId="2" borderId="66" xfId="0" applyFont="1" applyFill="1" applyBorder="1" applyAlignment="1">
      <alignment horizontal="center" vertical="center"/>
    </xf>
    <xf numFmtId="0" fontId="33" fillId="0" borderId="7" xfId="0" applyFont="1" applyFill="1" applyBorder="1" applyAlignment="1">
      <alignment horizontal="center" vertical="center" wrapText="1"/>
    </xf>
    <xf numFmtId="44" fontId="6" fillId="0" borderId="57" xfId="3" applyFont="1" applyFill="1" applyBorder="1" applyAlignment="1">
      <alignment horizontal="center" vertical="top"/>
    </xf>
    <xf numFmtId="44" fontId="6" fillId="0" borderId="0" xfId="3" applyFont="1" applyFill="1" applyBorder="1" applyAlignment="1">
      <alignment horizontal="center" vertical="top"/>
    </xf>
    <xf numFmtId="44" fontId="6" fillId="0" borderId="43" xfId="3" applyFont="1" applyFill="1" applyBorder="1" applyAlignment="1">
      <alignment horizontal="center" vertical="top"/>
    </xf>
    <xf numFmtId="44" fontId="6" fillId="0" borderId="71" xfId="3" applyFont="1" applyFill="1" applyBorder="1" applyAlignment="1">
      <alignment horizontal="center" vertical="top"/>
    </xf>
    <xf numFmtId="44" fontId="6" fillId="2" borderId="68" xfId="3" applyFont="1" applyFill="1" applyBorder="1" applyAlignment="1">
      <alignment horizontal="center" vertical="top"/>
    </xf>
    <xf numFmtId="44" fontId="6" fillId="2" borderId="70" xfId="3" applyFont="1" applyFill="1" applyBorder="1" applyAlignment="1">
      <alignment horizontal="center" vertical="top"/>
    </xf>
    <xf numFmtId="44" fontId="6" fillId="0" borderId="55" xfId="3" applyFont="1" applyFill="1" applyBorder="1" applyAlignment="1">
      <alignment horizontal="center" vertical="center"/>
    </xf>
    <xf numFmtId="44" fontId="6" fillId="0" borderId="62" xfId="3" applyFont="1" applyFill="1" applyBorder="1" applyAlignment="1">
      <alignment horizontal="center" vertical="center"/>
    </xf>
    <xf numFmtId="44" fontId="22" fillId="2" borderId="66" xfId="3" applyFont="1" applyFill="1" applyBorder="1" applyAlignment="1">
      <alignment horizontal="center" vertical="center"/>
    </xf>
    <xf numFmtId="10" fontId="6" fillId="3" borderId="6" xfId="0" applyNumberFormat="1" applyFont="1" applyFill="1" applyBorder="1" applyAlignment="1" applyProtection="1">
      <alignment horizontal="center"/>
      <protection locked="0"/>
    </xf>
    <xf numFmtId="44" fontId="6" fillId="3" borderId="4" xfId="3" applyFont="1" applyFill="1" applyBorder="1" applyAlignment="1" applyProtection="1">
      <alignment horizontal="center"/>
      <protection locked="0" hidden="1"/>
    </xf>
    <xf numFmtId="0" fontId="1" fillId="6" borderId="48" xfId="0" applyFont="1" applyFill="1" applyBorder="1" applyAlignment="1">
      <alignment horizontal="left" vertical="top"/>
    </xf>
    <xf numFmtId="10" fontId="10" fillId="6" borderId="0" xfId="0" applyNumberFormat="1" applyFont="1" applyFill="1" applyBorder="1" applyAlignment="1">
      <alignment horizontal="center" vertical="center"/>
    </xf>
    <xf numFmtId="0" fontId="1" fillId="6" borderId="0" xfId="0" applyFont="1" applyFill="1" applyBorder="1" applyAlignment="1">
      <alignment horizontal="left" vertical="top"/>
    </xf>
    <xf numFmtId="0" fontId="5" fillId="0" borderId="0" xfId="0" applyFont="1" applyFill="1" applyBorder="1" applyAlignment="1">
      <alignment horizontal="left" vertical="top" wrapText="1"/>
    </xf>
    <xf numFmtId="0" fontId="11" fillId="0" borderId="9" xfId="0" applyFont="1" applyFill="1" applyBorder="1" applyAlignment="1">
      <alignment horizontal="center" vertical="center"/>
    </xf>
    <xf numFmtId="0" fontId="9" fillId="4" borderId="0" xfId="0" applyFont="1" applyFill="1" applyBorder="1" applyAlignment="1" applyProtection="1">
      <alignment horizontal="center" vertical="center"/>
      <protection locked="0"/>
    </xf>
    <xf numFmtId="44" fontId="6" fillId="4" borderId="4" xfId="3" applyFont="1" applyFill="1" applyBorder="1" applyAlignment="1" applyProtection="1">
      <alignment horizontal="center"/>
      <protection locked="0" hidden="1"/>
    </xf>
    <xf numFmtId="10" fontId="6" fillId="4" borderId="50" xfId="0" applyNumberFormat="1" applyFont="1" applyFill="1" applyBorder="1" applyAlignment="1" applyProtection="1">
      <alignment horizontal="center"/>
      <protection locked="0"/>
    </xf>
    <xf numFmtId="44" fontId="6" fillId="4" borderId="4" xfId="3" applyFont="1" applyFill="1" applyBorder="1" applyAlignment="1" applyProtection="1">
      <alignment horizontal="center"/>
      <protection hidden="1"/>
    </xf>
    <xf numFmtId="10" fontId="6" fillId="4" borderId="6" xfId="0" applyNumberFormat="1" applyFont="1" applyFill="1" applyBorder="1" applyAlignment="1" applyProtection="1">
      <alignment horizontal="center"/>
      <protection locked="0"/>
    </xf>
    <xf numFmtId="44" fontId="9" fillId="4" borderId="25" xfId="3" applyFont="1" applyFill="1" applyBorder="1" applyAlignment="1" applyProtection="1">
      <alignment horizontal="center"/>
      <protection locked="0" hidden="1"/>
    </xf>
    <xf numFmtId="44" fontId="9" fillId="3" borderId="25" xfId="3" applyFont="1" applyFill="1" applyBorder="1" applyAlignment="1" applyProtection="1">
      <alignment horizontal="left"/>
      <protection hidden="1"/>
    </xf>
    <xf numFmtId="44" fontId="9" fillId="4" borderId="25" xfId="3" applyFont="1" applyFill="1" applyBorder="1" applyAlignment="1" applyProtection="1">
      <alignment horizontal="center"/>
      <protection hidden="1"/>
    </xf>
    <xf numFmtId="44" fontId="9" fillId="3" borderId="25" xfId="3" applyFont="1" applyFill="1" applyBorder="1" applyAlignment="1" applyProtection="1">
      <alignment horizontal="center"/>
      <protection hidden="1"/>
    </xf>
    <xf numFmtId="0" fontId="21" fillId="6" borderId="44" xfId="0" applyFont="1" applyFill="1" applyBorder="1" applyAlignment="1" applyProtection="1">
      <alignment horizontal="center" vertical="center" wrapText="1"/>
      <protection locked="0"/>
    </xf>
    <xf numFmtId="14" fontId="4" fillId="6" borderId="4" xfId="0" applyNumberFormat="1" applyFont="1" applyFill="1" applyBorder="1" applyAlignment="1" applyProtection="1">
      <alignment horizontal="center" vertical="center" wrapText="1"/>
      <protection locked="0"/>
    </xf>
    <xf numFmtId="2" fontId="4" fillId="6" borderId="4" xfId="2" applyNumberFormat="1" applyFont="1" applyFill="1" applyBorder="1" applyAlignment="1" applyProtection="1">
      <alignment horizontal="center" vertical="center" wrapText="1"/>
      <protection locked="0"/>
    </xf>
    <xf numFmtId="167" fontId="4" fillId="6" borderId="4" xfId="3" applyNumberFormat="1" applyFont="1" applyFill="1" applyBorder="1" applyAlignment="1" applyProtection="1">
      <alignment horizontal="left" vertical="center" wrapText="1"/>
      <protection locked="0"/>
    </xf>
    <xf numFmtId="0" fontId="9" fillId="6" borderId="4" xfId="0" applyFont="1" applyFill="1" applyBorder="1" applyAlignment="1" applyProtection="1">
      <alignment vertical="center"/>
      <protection locked="0"/>
    </xf>
    <xf numFmtId="10" fontId="9" fillId="6" borderId="4" xfId="2" applyNumberFormat="1" applyFont="1" applyFill="1" applyBorder="1" applyAlignment="1" applyProtection="1">
      <alignment horizontal="center"/>
      <protection locked="0"/>
    </xf>
    <xf numFmtId="44" fontId="9" fillId="6" borderId="4" xfId="3" applyFont="1" applyFill="1" applyBorder="1" applyAlignment="1" applyProtection="1">
      <protection locked="0"/>
    </xf>
    <xf numFmtId="0" fontId="9" fillId="19" borderId="4" xfId="0" applyFont="1" applyFill="1" applyBorder="1" applyAlignment="1" applyProtection="1">
      <alignment horizontal="center" wrapText="1"/>
      <protection locked="0"/>
    </xf>
    <xf numFmtId="0" fontId="9" fillId="19" borderId="25" xfId="0" applyFont="1" applyFill="1" applyBorder="1" applyAlignment="1" applyProtection="1">
      <alignment horizontal="center" wrapText="1"/>
      <protection locked="0"/>
    </xf>
    <xf numFmtId="0" fontId="4" fillId="19" borderId="50" xfId="0" applyFont="1" applyFill="1" applyBorder="1" applyAlignment="1" applyProtection="1">
      <alignment horizontal="center" wrapText="1"/>
      <protection locked="0"/>
    </xf>
    <xf numFmtId="0" fontId="4" fillId="19" borderId="6" xfId="0" applyFont="1" applyFill="1" applyBorder="1" applyAlignment="1" applyProtection="1">
      <alignment horizontal="center" wrapText="1"/>
      <protection locked="0"/>
    </xf>
    <xf numFmtId="0" fontId="4" fillId="19" borderId="25" xfId="0" applyFont="1" applyFill="1" applyBorder="1" applyAlignment="1" applyProtection="1">
      <alignment horizontal="center" wrapText="1"/>
      <protection locked="0"/>
    </xf>
    <xf numFmtId="164" fontId="2" fillId="19" borderId="79" xfId="0" applyNumberFormat="1" applyFont="1" applyFill="1" applyBorder="1" applyAlignment="1">
      <alignment horizontal="center" vertical="top" wrapText="1"/>
    </xf>
    <xf numFmtId="0" fontId="3" fillId="19" borderId="80" xfId="0" applyFont="1" applyFill="1" applyBorder="1" applyAlignment="1">
      <alignment horizontal="center" wrapText="1"/>
    </xf>
    <xf numFmtId="0" fontId="45" fillId="3" borderId="13" xfId="0" applyFont="1" applyFill="1" applyBorder="1" applyAlignment="1">
      <alignment horizontal="left" vertical="center" wrapText="1"/>
    </xf>
    <xf numFmtId="165" fontId="45" fillId="3" borderId="3" xfId="2" applyNumberFormat="1" applyFont="1" applyFill="1" applyBorder="1" applyAlignment="1">
      <alignment horizontal="center" vertical="center" wrapText="1"/>
    </xf>
    <xf numFmtId="9" fontId="45" fillId="3" borderId="3" xfId="2" applyFont="1" applyFill="1" applyBorder="1" applyAlignment="1">
      <alignment horizontal="center" vertical="center" wrapText="1"/>
    </xf>
    <xf numFmtId="0" fontId="45" fillId="3" borderId="3" xfId="2" applyNumberFormat="1" applyFont="1" applyFill="1" applyBorder="1" applyAlignment="1">
      <alignment horizontal="center" vertical="center" wrapText="1"/>
    </xf>
    <xf numFmtId="37" fontId="45" fillId="3" borderId="2" xfId="0" applyNumberFormat="1" applyFont="1" applyFill="1" applyBorder="1" applyAlignment="1">
      <alignment horizontal="right" vertical="center" wrapText="1"/>
    </xf>
    <xf numFmtId="37" fontId="45" fillId="0" borderId="2" xfId="0" applyNumberFormat="1" applyFont="1" applyFill="1" applyBorder="1" applyAlignment="1">
      <alignment horizontal="right" vertical="center" wrapText="1"/>
    </xf>
    <xf numFmtId="37" fontId="45" fillId="0" borderId="1" xfId="0" applyNumberFormat="1" applyFont="1" applyFill="1" applyBorder="1" applyAlignment="1">
      <alignment horizontal="right" vertical="center" wrapText="1"/>
    </xf>
    <xf numFmtId="37" fontId="11" fillId="6" borderId="38" xfId="0" applyNumberFormat="1" applyFont="1" applyFill="1" applyBorder="1" applyAlignment="1">
      <alignment horizontal="right" vertical="center" shrinkToFit="1"/>
    </xf>
    <xf numFmtId="37" fontId="45" fillId="0" borderId="76" xfId="0" applyNumberFormat="1" applyFont="1" applyFill="1" applyBorder="1" applyAlignment="1">
      <alignment horizontal="right" vertical="center" shrinkToFit="1"/>
    </xf>
    <xf numFmtId="37" fontId="45" fillId="0" borderId="78" xfId="0" applyNumberFormat="1" applyFont="1" applyFill="1" applyBorder="1" applyAlignment="1">
      <alignment horizontal="right" vertical="center" shrinkToFit="1"/>
    </xf>
    <xf numFmtId="37" fontId="45" fillId="0" borderId="36" xfId="0" applyNumberFormat="1" applyFont="1" applyFill="1" applyBorder="1" applyAlignment="1">
      <alignment horizontal="right" vertical="center" shrinkToFit="1"/>
    </xf>
    <xf numFmtId="37" fontId="46" fillId="0" borderId="76" xfId="0" applyNumberFormat="1" applyFont="1" applyFill="1" applyBorder="1" applyAlignment="1">
      <alignment horizontal="right" vertical="center" shrinkToFit="1"/>
    </xf>
    <xf numFmtId="37" fontId="46" fillId="0" borderId="36" xfId="0" applyNumberFormat="1" applyFont="1" applyFill="1" applyBorder="1" applyAlignment="1">
      <alignment horizontal="right" vertical="center" shrinkToFit="1"/>
    </xf>
    <xf numFmtId="37" fontId="47" fillId="6" borderId="38" xfId="0" applyNumberFormat="1" applyFont="1" applyFill="1" applyBorder="1" applyAlignment="1">
      <alignment horizontal="right" vertical="center" shrinkToFit="1"/>
    </xf>
    <xf numFmtId="37" fontId="11" fillId="19" borderId="80" xfId="0" applyNumberFormat="1" applyFont="1" applyFill="1" applyBorder="1" applyAlignment="1">
      <alignment horizontal="right" vertical="center" shrinkToFit="1"/>
    </xf>
    <xf numFmtId="0" fontId="45" fillId="0" borderId="0" xfId="0" applyFont="1" applyFill="1" applyBorder="1" applyAlignment="1">
      <alignment horizontal="left" vertical="top"/>
    </xf>
    <xf numFmtId="37" fontId="46" fillId="0" borderId="78" xfId="0" applyNumberFormat="1" applyFont="1" applyFill="1" applyBorder="1" applyAlignment="1">
      <alignment horizontal="right" vertical="center" shrinkToFit="1"/>
    </xf>
    <xf numFmtId="37" fontId="45" fillId="0" borderId="77" xfId="0" applyNumberFormat="1" applyFont="1" applyFill="1" applyBorder="1" applyAlignment="1">
      <alignment horizontal="right" vertical="center" shrinkToFit="1"/>
    </xf>
    <xf numFmtId="0" fontId="47" fillId="0" borderId="16" xfId="0" applyFont="1" applyFill="1" applyBorder="1" applyAlignment="1">
      <alignment vertical="center" wrapText="1"/>
    </xf>
    <xf numFmtId="0" fontId="47" fillId="0" borderId="10" xfId="0" applyFont="1" applyFill="1" applyBorder="1" applyAlignment="1">
      <alignment vertical="center" wrapText="1"/>
    </xf>
    <xf numFmtId="0" fontId="47" fillId="0" borderId="10" xfId="0" applyFont="1" applyFill="1" applyBorder="1" applyAlignment="1">
      <alignment horizontal="right" vertical="center"/>
    </xf>
    <xf numFmtId="37" fontId="47" fillId="0" borderId="10" xfId="0" applyNumberFormat="1" applyFont="1" applyFill="1" applyBorder="1" applyAlignment="1">
      <alignment vertical="center" wrapText="1"/>
    </xf>
    <xf numFmtId="37" fontId="47" fillId="0" borderId="11" xfId="0" applyNumberFormat="1" applyFont="1" applyFill="1" applyBorder="1" applyAlignment="1">
      <alignment vertical="center" wrapText="1"/>
    </xf>
    <xf numFmtId="37" fontId="47" fillId="6" borderId="25" xfId="0" applyNumberFormat="1" applyFont="1" applyFill="1" applyBorder="1" applyAlignment="1">
      <alignment vertical="center" wrapText="1"/>
    </xf>
    <xf numFmtId="37" fontId="47" fillId="0" borderId="89" xfId="0" applyNumberFormat="1" applyFont="1" applyFill="1" applyBorder="1" applyAlignment="1">
      <alignment vertical="center" wrapText="1"/>
    </xf>
    <xf numFmtId="37" fontId="47" fillId="0" borderId="4" xfId="0" applyNumberFormat="1" applyFont="1" applyFill="1" applyBorder="1" applyAlignment="1">
      <alignment vertical="center" wrapText="1"/>
    </xf>
    <xf numFmtId="37" fontId="47" fillId="0" borderId="9" xfId="0" applyNumberFormat="1" applyFont="1" applyFill="1" applyBorder="1" applyAlignment="1">
      <alignment vertical="center" wrapText="1"/>
    </xf>
    <xf numFmtId="37" fontId="47" fillId="0" borderId="6" xfId="0" applyNumberFormat="1" applyFont="1" applyFill="1" applyBorder="1" applyAlignment="1">
      <alignment vertical="center" wrapText="1"/>
    </xf>
    <xf numFmtId="37" fontId="47" fillId="0" borderId="50" xfId="0" applyNumberFormat="1" applyFont="1" applyFill="1" applyBorder="1" applyAlignment="1">
      <alignment vertical="center" wrapText="1"/>
    </xf>
    <xf numFmtId="37" fontId="47" fillId="19" borderId="26" xfId="0" applyNumberFormat="1" applyFont="1" applyFill="1" applyBorder="1" applyAlignment="1">
      <alignment vertical="center" wrapText="1"/>
    </xf>
    <xf numFmtId="0" fontId="47" fillId="0" borderId="5" xfId="0" applyFont="1" applyFill="1" applyBorder="1" applyAlignment="1">
      <alignment vertical="top" wrapText="1"/>
    </xf>
    <xf numFmtId="37" fontId="46" fillId="6" borderId="25" xfId="0" applyNumberFormat="1" applyFont="1" applyFill="1" applyBorder="1" applyAlignment="1">
      <alignment horizontal="center" wrapText="1"/>
    </xf>
    <xf numFmtId="39" fontId="46" fillId="6" borderId="25" xfId="0" applyNumberFormat="1" applyFont="1" applyFill="1" applyBorder="1" applyAlignment="1">
      <alignment horizontal="center" wrapText="1"/>
    </xf>
    <xf numFmtId="39" fontId="47" fillId="19" borderId="53" xfId="0" applyNumberFormat="1" applyFont="1" applyFill="1" applyBorder="1" applyAlignment="1">
      <alignment horizontal="center" wrapText="1"/>
    </xf>
    <xf numFmtId="0" fontId="46" fillId="0" borderId="15" xfId="0" applyFont="1" applyFill="1" applyBorder="1" applyAlignment="1">
      <alignment vertical="top" wrapText="1"/>
    </xf>
    <xf numFmtId="37" fontId="47" fillId="6" borderId="25" xfId="0" applyNumberFormat="1" applyFont="1" applyFill="1" applyBorder="1" applyAlignment="1">
      <alignment vertical="top" wrapText="1"/>
    </xf>
    <xf numFmtId="37" fontId="47" fillId="19" borderId="41" xfId="0" applyNumberFormat="1" applyFont="1" applyFill="1" applyBorder="1" applyAlignment="1">
      <alignment vertical="top" wrapText="1"/>
    </xf>
    <xf numFmtId="0" fontId="46" fillId="0" borderId="14" xfId="0" applyFont="1" applyFill="1" applyBorder="1" applyAlignment="1">
      <alignment vertical="top" wrapText="1"/>
    </xf>
    <xf numFmtId="37" fontId="11" fillId="6" borderId="25" xfId="0" applyNumberFormat="1" applyFont="1" applyFill="1" applyBorder="1" applyAlignment="1">
      <alignment vertical="top" wrapText="1"/>
    </xf>
    <xf numFmtId="37" fontId="11" fillId="19" borderId="26" xfId="0" applyNumberFormat="1" applyFont="1" applyFill="1" applyBorder="1" applyAlignment="1">
      <alignment vertical="top" wrapText="1"/>
    </xf>
    <xf numFmtId="0" fontId="45" fillId="3" borderId="5" xfId="0" applyFont="1" applyFill="1" applyBorder="1" applyAlignment="1">
      <alignment horizontal="left" vertical="top" wrapText="1"/>
    </xf>
    <xf numFmtId="0" fontId="45" fillId="3" borderId="9" xfId="0" applyFont="1" applyFill="1" applyBorder="1" applyAlignment="1">
      <alignment horizontal="left" vertical="top" wrapText="1"/>
    </xf>
    <xf numFmtId="0" fontId="45" fillId="3" borderId="6" xfId="0" applyFont="1" applyFill="1" applyBorder="1" applyAlignment="1">
      <alignment horizontal="left" vertical="top" wrapText="1"/>
    </xf>
    <xf numFmtId="0" fontId="46" fillId="0" borderId="16" xfId="0" applyFont="1" applyFill="1" applyBorder="1" applyAlignment="1">
      <alignment vertical="top" wrapText="1"/>
    </xf>
    <xf numFmtId="37" fontId="47" fillId="6" borderId="37" xfId="0" applyNumberFormat="1" applyFont="1" applyFill="1" applyBorder="1" applyAlignment="1">
      <alignment vertical="top" wrapText="1"/>
    </xf>
    <xf numFmtId="37" fontId="47" fillId="6" borderId="11" xfId="0" applyNumberFormat="1" applyFont="1" applyFill="1" applyBorder="1" applyAlignment="1">
      <alignment vertical="top" wrapText="1"/>
    </xf>
    <xf numFmtId="0" fontId="47" fillId="0" borderId="9" xfId="0" applyFont="1" applyFill="1" applyBorder="1" applyAlignment="1">
      <alignment vertical="top" wrapText="1"/>
    </xf>
    <xf numFmtId="0" fontId="47" fillId="0" borderId="9" xfId="0" applyFont="1" applyFill="1" applyBorder="1" applyAlignment="1">
      <alignment horizontal="right" vertical="center"/>
    </xf>
    <xf numFmtId="0" fontId="45" fillId="0" borderId="9" xfId="0" applyFont="1" applyFill="1" applyBorder="1" applyAlignment="1">
      <alignment vertical="top" wrapText="1"/>
    </xf>
    <xf numFmtId="37" fontId="47" fillId="6" borderId="25" xfId="0" applyNumberFormat="1" applyFont="1" applyFill="1" applyBorder="1" applyAlignment="1">
      <alignment horizontal="right" vertical="center" wrapText="1"/>
    </xf>
    <xf numFmtId="37" fontId="47" fillId="19" borderId="31" xfId="0" applyNumberFormat="1" applyFont="1" applyFill="1" applyBorder="1" applyAlignment="1">
      <alignment horizontal="right" vertical="center" wrapText="1"/>
    </xf>
    <xf numFmtId="0" fontId="45" fillId="0" borderId="5" xfId="0" applyFont="1" applyFill="1" applyBorder="1" applyAlignment="1">
      <alignment horizontal="left" vertical="top"/>
    </xf>
    <xf numFmtId="0" fontId="45" fillId="0" borderId="9" xfId="0" applyFont="1" applyFill="1" applyBorder="1" applyAlignment="1">
      <alignment horizontal="left" vertical="top"/>
    </xf>
    <xf numFmtId="37" fontId="11" fillId="6" borderId="25" xfId="0" applyNumberFormat="1" applyFont="1" applyFill="1" applyBorder="1" applyAlignment="1">
      <alignment vertical="center"/>
    </xf>
    <xf numFmtId="37" fontId="11" fillId="19" borderId="31" xfId="0" applyNumberFormat="1" applyFont="1" applyFill="1" applyBorder="1" applyAlignment="1">
      <alignment vertical="center"/>
    </xf>
    <xf numFmtId="0" fontId="44" fillId="0" borderId="7" xfId="0" applyFont="1" applyFill="1" applyBorder="1" applyAlignment="1">
      <alignment horizontal="left" vertical="top"/>
    </xf>
    <xf numFmtId="168" fontId="11" fillId="5" borderId="17" xfId="0" applyNumberFormat="1" applyFont="1" applyFill="1" applyBorder="1" applyAlignment="1">
      <alignment horizontal="center" vertical="center"/>
    </xf>
    <xf numFmtId="10" fontId="11" fillId="0" borderId="17" xfId="0" applyNumberFormat="1" applyFont="1" applyFill="1" applyBorder="1" applyAlignment="1">
      <alignment horizontal="center" vertical="center"/>
    </xf>
    <xf numFmtId="10" fontId="11" fillId="5" borderId="17" xfId="0" applyNumberFormat="1" applyFont="1" applyFill="1" applyBorder="1" applyAlignment="1">
      <alignment horizontal="center" vertical="center"/>
    </xf>
    <xf numFmtId="0" fontId="45" fillId="0" borderId="17" xfId="0" applyFont="1" applyFill="1" applyBorder="1" applyAlignment="1">
      <alignment horizontal="left" vertical="top"/>
    </xf>
    <xf numFmtId="37" fontId="11" fillId="6" borderId="88" xfId="0" applyNumberFormat="1" applyFont="1" applyFill="1" applyBorder="1" applyAlignment="1">
      <alignment vertical="center"/>
    </xf>
    <xf numFmtId="37" fontId="11" fillId="19" borderId="44" xfId="0" applyNumberFormat="1" applyFont="1" applyFill="1" applyBorder="1" applyAlignment="1">
      <alignment vertical="center"/>
    </xf>
    <xf numFmtId="0" fontId="45" fillId="0" borderId="6" xfId="0" applyFont="1" applyFill="1" applyBorder="1" applyAlignment="1">
      <alignment horizontal="left" vertical="top"/>
    </xf>
    <xf numFmtId="37" fontId="11" fillId="2" borderId="25" xfId="0" applyNumberFormat="1" applyFont="1" applyFill="1" applyBorder="1" applyAlignment="1">
      <alignment vertical="center"/>
    </xf>
    <xf numFmtId="166" fontId="11" fillId="6" borderId="56" xfId="1" applyNumberFormat="1" applyFont="1" applyFill="1" applyBorder="1" applyAlignment="1">
      <alignment vertical="center"/>
    </xf>
    <xf numFmtId="166" fontId="11" fillId="6" borderId="42" xfId="1" applyNumberFormat="1" applyFont="1" applyFill="1" applyBorder="1" applyAlignment="1">
      <alignment vertical="center"/>
    </xf>
    <xf numFmtId="166" fontId="11" fillId="6" borderId="25" xfId="0" applyNumberFormat="1" applyFont="1" applyFill="1" applyBorder="1" applyAlignment="1">
      <alignment vertical="center"/>
    </xf>
    <xf numFmtId="166" fontId="11" fillId="6" borderId="44" xfId="0" applyNumberFormat="1" applyFont="1" applyFill="1" applyBorder="1" applyAlignment="1">
      <alignment vertical="center"/>
    </xf>
    <xf numFmtId="166" fontId="11" fillId="6" borderId="37" xfId="0" applyNumberFormat="1" applyFont="1" applyFill="1" applyBorder="1" applyAlignment="1">
      <alignment vertical="center"/>
    </xf>
    <xf numFmtId="166" fontId="11" fillId="2" borderId="27" xfId="0" applyNumberFormat="1" applyFont="1" applyFill="1" applyBorder="1" applyAlignment="1">
      <alignment vertical="center"/>
    </xf>
    <xf numFmtId="0" fontId="49" fillId="4" borderId="7" xfId="0" applyFont="1" applyFill="1" applyBorder="1" applyAlignment="1" applyProtection="1">
      <alignment horizontal="left" vertical="top"/>
      <protection locked="0"/>
    </xf>
    <xf numFmtId="18" fontId="9" fillId="0" borderId="18" xfId="0" applyNumberFormat="1" applyFont="1" applyFill="1" applyBorder="1" applyAlignment="1">
      <alignment vertical="center" wrapText="1"/>
    </xf>
    <xf numFmtId="0" fontId="9" fillId="3" borderId="4" xfId="0" applyFont="1" applyFill="1" applyBorder="1" applyAlignment="1">
      <alignment horizontal="center" vertical="center" wrapText="1"/>
    </xf>
    <xf numFmtId="0" fontId="11" fillId="3" borderId="4" xfId="0" applyFont="1" applyFill="1" applyBorder="1" applyAlignment="1">
      <alignment horizontal="center" vertical="center"/>
    </xf>
    <xf numFmtId="10" fontId="45" fillId="3" borderId="3" xfId="2" applyNumberFormat="1" applyFont="1" applyFill="1" applyBorder="1" applyAlignment="1">
      <alignment horizontal="center" vertical="center" wrapText="1"/>
    </xf>
    <xf numFmtId="0" fontId="43" fillId="17" borderId="44" xfId="7" applyFont="1" applyBorder="1" applyAlignment="1">
      <alignment horizontal="center" vertical="top"/>
    </xf>
    <xf numFmtId="0" fontId="40" fillId="15" borderId="44" xfId="5" applyFont="1" applyBorder="1" applyAlignment="1">
      <alignment horizontal="center" vertical="center"/>
    </xf>
    <xf numFmtId="0" fontId="41" fillId="14" borderId="44" xfId="4" applyFont="1" applyBorder="1" applyAlignment="1">
      <alignment horizontal="center" vertical="top"/>
    </xf>
    <xf numFmtId="0" fontId="42" fillId="16" borderId="44" xfId="6" applyFont="1" applyBorder="1" applyAlignment="1">
      <alignment horizontal="center" vertical="top"/>
    </xf>
    <xf numFmtId="0" fontId="5" fillId="12" borderId="0" xfId="0" applyFont="1" applyFill="1" applyBorder="1" applyAlignment="1">
      <alignment horizontal="left" vertical="top"/>
    </xf>
    <xf numFmtId="0" fontId="13" fillId="0" borderId="54" xfId="0" applyFont="1" applyFill="1" applyBorder="1" applyAlignment="1">
      <alignment horizontal="left" vertical="top" wrapText="1"/>
    </xf>
    <xf numFmtId="0" fontId="13" fillId="0" borderId="52" xfId="0" applyFont="1" applyFill="1" applyBorder="1" applyAlignment="1">
      <alignment horizontal="left" vertical="top" wrapText="1"/>
    </xf>
    <xf numFmtId="0" fontId="13" fillId="0" borderId="72" xfId="0" applyFont="1" applyFill="1" applyBorder="1" applyAlignment="1">
      <alignment horizontal="left" vertical="top" wrapText="1"/>
    </xf>
    <xf numFmtId="0" fontId="13" fillId="0" borderId="48" xfId="0" applyFont="1" applyFill="1" applyBorder="1" applyAlignment="1">
      <alignment horizontal="left" vertical="top" wrapText="1"/>
    </xf>
    <xf numFmtId="0" fontId="13" fillId="0" borderId="0" xfId="0" applyFont="1" applyFill="1" applyBorder="1" applyAlignment="1">
      <alignment horizontal="left" vertical="top" wrapText="1"/>
    </xf>
    <xf numFmtId="0" fontId="13" fillId="0" borderId="33" xfId="0" applyFont="1" applyFill="1" applyBorder="1" applyAlignment="1">
      <alignment horizontal="left" vertical="top" wrapText="1"/>
    </xf>
    <xf numFmtId="0" fontId="13" fillId="0" borderId="34" xfId="0" applyFont="1" applyFill="1" applyBorder="1" applyAlignment="1">
      <alignment horizontal="left" vertical="top" wrapText="1"/>
    </xf>
    <xf numFmtId="0" fontId="13" fillId="0" borderId="51" xfId="0" applyFont="1" applyFill="1" applyBorder="1" applyAlignment="1">
      <alignment horizontal="left" vertical="top" wrapText="1"/>
    </xf>
    <xf numFmtId="0" fontId="5" fillId="4" borderId="30" xfId="0" applyFont="1" applyFill="1" applyBorder="1" applyAlignment="1">
      <alignment horizontal="left" vertical="top" wrapText="1"/>
    </xf>
    <xf numFmtId="0" fontId="5" fillId="4" borderId="32" xfId="0" applyFont="1" applyFill="1" applyBorder="1" applyAlignment="1">
      <alignment horizontal="left" vertical="top" wrapText="1"/>
    </xf>
    <xf numFmtId="0" fontId="5" fillId="4" borderId="31" xfId="0" applyFont="1" applyFill="1" applyBorder="1" applyAlignment="1">
      <alignment horizontal="left" vertical="top" wrapText="1"/>
    </xf>
    <xf numFmtId="0" fontId="5" fillId="11" borderId="0" xfId="0" applyFont="1" applyFill="1" applyBorder="1" applyAlignment="1">
      <alignment horizontal="left" vertical="top"/>
    </xf>
    <xf numFmtId="0" fontId="13" fillId="0" borderId="30" xfId="0" applyFont="1" applyFill="1" applyBorder="1" applyAlignment="1">
      <alignment horizontal="left" vertical="top" wrapText="1"/>
    </xf>
    <xf numFmtId="0" fontId="13" fillId="0" borderId="32" xfId="0" applyFont="1" applyFill="1" applyBorder="1" applyAlignment="1">
      <alignment horizontal="left" vertical="top" wrapText="1"/>
    </xf>
    <xf numFmtId="0" fontId="13" fillId="0" borderId="31" xfId="0" applyFont="1" applyFill="1" applyBorder="1" applyAlignment="1">
      <alignment horizontal="left" vertical="top" wrapText="1"/>
    </xf>
    <xf numFmtId="0" fontId="13" fillId="0" borderId="82" xfId="0" applyFont="1" applyFill="1" applyBorder="1" applyAlignment="1">
      <alignment horizontal="left" vertical="top" wrapText="1"/>
    </xf>
    <xf numFmtId="0" fontId="13" fillId="0" borderId="83" xfId="0" applyFont="1" applyFill="1" applyBorder="1" applyAlignment="1">
      <alignment horizontal="left" vertical="top" wrapText="1"/>
    </xf>
    <xf numFmtId="0" fontId="13" fillId="0" borderId="84" xfId="0" applyFont="1" applyFill="1" applyBorder="1" applyAlignment="1">
      <alignment horizontal="left" vertical="top" wrapText="1"/>
    </xf>
    <xf numFmtId="0" fontId="13" fillId="0" borderId="85" xfId="0" applyFont="1" applyFill="1" applyBorder="1" applyAlignment="1">
      <alignment horizontal="left" vertical="top" wrapText="1"/>
    </xf>
    <xf numFmtId="0" fontId="13" fillId="0" borderId="86" xfId="0" applyFont="1" applyFill="1" applyBorder="1" applyAlignment="1">
      <alignment horizontal="left" vertical="top" wrapText="1"/>
    </xf>
    <xf numFmtId="0" fontId="13" fillId="0" borderId="27" xfId="0" applyFont="1" applyFill="1" applyBorder="1" applyAlignment="1">
      <alignment horizontal="left" vertical="top" wrapText="1"/>
    </xf>
    <xf numFmtId="0" fontId="5" fillId="18" borderId="0" xfId="0" applyFont="1" applyFill="1" applyBorder="1" applyAlignment="1">
      <alignment horizontal="left" vertical="top" wrapText="1"/>
    </xf>
    <xf numFmtId="0" fontId="13" fillId="0" borderId="54" xfId="0" applyFont="1" applyFill="1" applyBorder="1" applyAlignment="1">
      <alignment horizontal="center" vertical="center" wrapText="1"/>
    </xf>
    <xf numFmtId="0" fontId="13" fillId="0" borderId="52" xfId="0" applyFont="1" applyFill="1" applyBorder="1" applyAlignment="1">
      <alignment horizontal="center" vertical="center" wrapText="1"/>
    </xf>
    <xf numFmtId="0" fontId="13" fillId="0" borderId="72" xfId="0" applyFont="1" applyFill="1" applyBorder="1" applyAlignment="1">
      <alignment horizontal="center" vertical="center" wrapText="1"/>
    </xf>
    <xf numFmtId="0" fontId="13" fillId="0" borderId="34"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33" xfId="0" applyFont="1" applyFill="1" applyBorder="1" applyAlignment="1">
      <alignment horizontal="center" vertical="center" wrapText="1"/>
    </xf>
    <xf numFmtId="0" fontId="5" fillId="2" borderId="5" xfId="0" applyFont="1" applyFill="1" applyBorder="1" applyAlignment="1">
      <alignment horizontal="left" vertical="top"/>
    </xf>
    <xf numFmtId="0" fontId="5" fillId="2" borderId="9" xfId="0" applyFont="1" applyFill="1" applyBorder="1" applyAlignment="1">
      <alignment horizontal="left" vertical="top"/>
    </xf>
    <xf numFmtId="0" fontId="47" fillId="0" borderId="9" xfId="0" applyFont="1" applyFill="1" applyBorder="1" applyAlignment="1">
      <alignment horizontal="center" wrapText="1"/>
    </xf>
    <xf numFmtId="0" fontId="47" fillId="0" borderId="6" xfId="0" applyFont="1" applyFill="1" applyBorder="1" applyAlignment="1">
      <alignment horizontal="center" wrapText="1"/>
    </xf>
    <xf numFmtId="10" fontId="9" fillId="7" borderId="5" xfId="0" applyNumberFormat="1" applyFont="1" applyFill="1" applyBorder="1" applyAlignment="1">
      <alignment horizontal="center" vertical="center"/>
    </xf>
    <xf numFmtId="14" fontId="9" fillId="7" borderId="6" xfId="0" applyNumberFormat="1" applyFont="1" applyFill="1" applyBorder="1" applyAlignment="1">
      <alignment horizontal="center" vertical="center"/>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164" fontId="4" fillId="4" borderId="21" xfId="0" applyNumberFormat="1" applyFont="1" applyFill="1" applyBorder="1" applyAlignment="1">
      <alignment horizontal="center" vertical="center" wrapText="1"/>
    </xf>
    <xf numFmtId="164" fontId="4" fillId="4" borderId="23" xfId="0" applyNumberFormat="1" applyFont="1" applyFill="1" applyBorder="1" applyAlignment="1">
      <alignment horizontal="center" vertical="center" wrapText="1"/>
    </xf>
    <xf numFmtId="164" fontId="4" fillId="4" borderId="39" xfId="0" applyNumberFormat="1" applyFont="1" applyFill="1" applyBorder="1" applyAlignment="1">
      <alignment horizontal="center" vertical="center" wrapText="1"/>
    </xf>
    <xf numFmtId="0" fontId="46" fillId="3" borderId="3" xfId="0" applyFont="1" applyFill="1" applyBorder="1" applyAlignment="1">
      <alignment horizontal="center" vertical="center" wrapText="1"/>
    </xf>
    <xf numFmtId="0" fontId="46" fillId="3" borderId="35" xfId="0" applyFont="1" applyFill="1" applyBorder="1" applyAlignment="1">
      <alignment horizontal="center" vertical="center" wrapText="1"/>
    </xf>
    <xf numFmtId="0" fontId="4" fillId="3" borderId="4" xfId="0" applyFont="1" applyFill="1" applyBorder="1" applyAlignment="1">
      <alignment horizontal="center" vertical="center" wrapText="1"/>
    </xf>
    <xf numFmtId="164" fontId="4" fillId="3" borderId="5" xfId="0" applyNumberFormat="1" applyFont="1" applyFill="1" applyBorder="1" applyAlignment="1">
      <alignment horizontal="center" vertical="center" wrapText="1"/>
    </xf>
    <xf numFmtId="164" fontId="4" fillId="3" borderId="6" xfId="0" applyNumberFormat="1" applyFont="1" applyFill="1" applyBorder="1" applyAlignment="1">
      <alignment horizontal="center" vertical="center" wrapText="1"/>
    </xf>
    <xf numFmtId="0" fontId="4" fillId="3" borderId="5" xfId="0" applyFont="1" applyFill="1" applyBorder="1" applyAlignment="1">
      <alignment vertical="center" wrapText="1"/>
    </xf>
    <xf numFmtId="0" fontId="4" fillId="3" borderId="6" xfId="0" applyFont="1" applyFill="1" applyBorder="1" applyAlignment="1">
      <alignment vertical="center" wrapText="1"/>
    </xf>
    <xf numFmtId="0" fontId="4" fillId="3" borderId="9" xfId="0" applyFont="1" applyFill="1" applyBorder="1" applyAlignment="1">
      <alignment horizontal="center" vertical="center" wrapText="1"/>
    </xf>
    <xf numFmtId="14" fontId="9" fillId="0" borderId="11" xfId="0" applyNumberFormat="1" applyFont="1" applyFill="1" applyBorder="1" applyAlignment="1">
      <alignment horizontal="center" vertical="center" wrapText="1"/>
    </xf>
    <xf numFmtId="14" fontId="9" fillId="0" borderId="18" xfId="0" applyNumberFormat="1" applyFont="1" applyFill="1" applyBorder="1" applyAlignment="1">
      <alignment horizontal="center" vertical="center" wrapText="1"/>
    </xf>
    <xf numFmtId="14"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9" fillId="0" borderId="0" xfId="0" applyFont="1" applyFill="1" applyBorder="1" applyAlignment="1">
      <alignment horizontal="center" vertical="center"/>
    </xf>
    <xf numFmtId="164" fontId="4" fillId="4" borderId="24" xfId="0" applyNumberFormat="1" applyFont="1" applyFill="1" applyBorder="1" applyAlignment="1">
      <alignment horizontal="center" vertical="center" wrapText="1"/>
    </xf>
    <xf numFmtId="164" fontId="4" fillId="4" borderId="40" xfId="0" applyNumberFormat="1" applyFont="1" applyFill="1" applyBorder="1" applyAlignment="1">
      <alignment horizontal="center" vertical="center" wrapText="1"/>
    </xf>
    <xf numFmtId="0" fontId="46" fillId="3" borderId="7" xfId="0" applyFont="1" applyFill="1" applyBorder="1" applyAlignment="1">
      <alignment horizontal="left" vertical="top" wrapText="1"/>
    </xf>
    <xf numFmtId="0" fontId="46" fillId="3" borderId="17" xfId="0" applyFont="1" applyFill="1" applyBorder="1" applyAlignment="1">
      <alignment horizontal="left" vertical="top" wrapText="1"/>
    </xf>
    <xf numFmtId="0" fontId="46" fillId="3" borderId="8" xfId="0" applyFont="1" applyFill="1" applyBorder="1" applyAlignment="1">
      <alignment horizontal="left" vertical="top" wrapText="1"/>
    </xf>
    <xf numFmtId="0" fontId="3" fillId="3" borderId="3" xfId="0" applyFont="1" applyFill="1" applyBorder="1" applyAlignment="1">
      <alignment horizontal="center" wrapText="1"/>
    </xf>
    <xf numFmtId="0" fontId="3" fillId="3" borderId="35" xfId="0" applyFont="1" applyFill="1" applyBorder="1" applyAlignment="1">
      <alignment horizontal="center" wrapText="1"/>
    </xf>
    <xf numFmtId="39" fontId="47" fillId="3" borderId="59" xfId="0" applyNumberFormat="1" applyFont="1" applyFill="1" applyBorder="1" applyAlignment="1">
      <alignment horizontal="center" vertical="top" wrapText="1"/>
    </xf>
    <xf numFmtId="39" fontId="47" fillId="3" borderId="9" xfId="0" applyNumberFormat="1" applyFont="1" applyFill="1" applyBorder="1" applyAlignment="1">
      <alignment horizontal="center" vertical="top" wrapText="1"/>
    </xf>
    <xf numFmtId="39" fontId="47" fillId="3" borderId="6" xfId="0" applyNumberFormat="1" applyFont="1" applyFill="1" applyBorder="1" applyAlignment="1">
      <alignment horizontal="center" vertical="top" wrapText="1"/>
    </xf>
    <xf numFmtId="0" fontId="4" fillId="5" borderId="9" xfId="0" applyFont="1" applyFill="1" applyBorder="1" applyAlignment="1">
      <alignment horizontal="center" vertical="center" wrapText="1"/>
    </xf>
    <xf numFmtId="0" fontId="4" fillId="5" borderId="6" xfId="0" applyFont="1" applyFill="1" applyBorder="1" applyAlignment="1">
      <alignment horizontal="center" vertical="center" wrapText="1"/>
    </xf>
    <xf numFmtId="39" fontId="46" fillId="0" borderId="59" xfId="0" applyNumberFormat="1" applyFont="1" applyFill="1" applyBorder="1" applyAlignment="1">
      <alignment horizontal="center" wrapText="1"/>
    </xf>
    <xf numFmtId="39" fontId="46" fillId="0" borderId="9" xfId="0" applyNumberFormat="1" applyFont="1" applyFill="1" applyBorder="1" applyAlignment="1">
      <alignment horizontal="center" wrapText="1"/>
    </xf>
    <xf numFmtId="39" fontId="46" fillId="0" borderId="6" xfId="0" applyNumberFormat="1" applyFont="1" applyFill="1" applyBorder="1" applyAlignment="1">
      <alignment horizontal="center" wrapText="1"/>
    </xf>
    <xf numFmtId="18" fontId="11" fillId="0" borderId="4" xfId="0" applyNumberFormat="1" applyFont="1" applyFill="1" applyBorder="1" applyAlignment="1">
      <alignment horizontal="center" vertical="center"/>
    </xf>
    <xf numFmtId="0" fontId="11" fillId="0" borderId="4" xfId="0" applyFont="1" applyFill="1" applyBorder="1" applyAlignment="1">
      <alignment horizontal="center" vertical="center"/>
    </xf>
    <xf numFmtId="0" fontId="9" fillId="6" borderId="29" xfId="0" applyFont="1" applyFill="1" applyBorder="1" applyAlignment="1">
      <alignment horizontal="right" vertical="center"/>
    </xf>
    <xf numFmtId="0" fontId="8" fillId="6" borderId="63" xfId="0" applyFont="1" applyFill="1" applyBorder="1" applyAlignment="1">
      <alignment horizontal="center" vertical="center"/>
    </xf>
    <xf numFmtId="0" fontId="8" fillId="6" borderId="64" xfId="0" applyFont="1" applyFill="1" applyBorder="1" applyAlignment="1">
      <alignment horizontal="center" vertical="center"/>
    </xf>
    <xf numFmtId="0" fontId="8" fillId="6" borderId="65" xfId="0" applyFont="1" applyFill="1" applyBorder="1" applyAlignment="1">
      <alignment horizontal="center" vertical="center"/>
    </xf>
    <xf numFmtId="0" fontId="45" fillId="3" borderId="5" xfId="0" applyFont="1" applyFill="1" applyBorder="1" applyAlignment="1">
      <alignment horizontal="left" vertical="top" wrapText="1"/>
    </xf>
    <xf numFmtId="0" fontId="45" fillId="3" borderId="9" xfId="0" applyFont="1" applyFill="1" applyBorder="1" applyAlignment="1">
      <alignment horizontal="left" vertical="top" wrapText="1"/>
    </xf>
    <xf numFmtId="0" fontId="45" fillId="3" borderId="6" xfId="0" applyFont="1" applyFill="1" applyBorder="1" applyAlignment="1">
      <alignment horizontal="left" vertical="top" wrapText="1"/>
    </xf>
    <xf numFmtId="0" fontId="10" fillId="6" borderId="9" xfId="0" applyFont="1" applyFill="1" applyBorder="1" applyAlignment="1">
      <alignment horizontal="right" vertical="top"/>
    </xf>
    <xf numFmtId="0" fontId="11" fillId="6" borderId="17" xfId="0" applyFont="1" applyFill="1" applyBorder="1" applyAlignment="1">
      <alignment horizontal="right" vertical="center"/>
    </xf>
    <xf numFmtId="0" fontId="11" fillId="0" borderId="17" xfId="0" applyFont="1" applyFill="1" applyBorder="1" applyAlignment="1">
      <alignment horizontal="right" vertical="center"/>
    </xf>
    <xf numFmtId="0" fontId="11" fillId="0" borderId="9" xfId="0" applyFont="1" applyFill="1" applyBorder="1" applyAlignment="1">
      <alignment horizontal="right" vertical="center"/>
    </xf>
    <xf numFmtId="0" fontId="11" fillId="0" borderId="9" xfId="0" applyFont="1" applyFill="1" applyBorder="1" applyAlignment="1">
      <alignment horizontal="right" vertical="top"/>
    </xf>
    <xf numFmtId="0" fontId="11" fillId="6" borderId="9" xfId="0" applyFont="1" applyFill="1" applyBorder="1" applyAlignment="1">
      <alignment horizontal="center" vertical="center"/>
    </xf>
    <xf numFmtId="0" fontId="11" fillId="6" borderId="6" xfId="0" applyFont="1" applyFill="1" applyBorder="1" applyAlignment="1">
      <alignment horizontal="center" vertical="center"/>
    </xf>
    <xf numFmtId="0" fontId="11" fillId="0" borderId="9" xfId="0" applyFont="1" applyFill="1" applyBorder="1" applyAlignment="1">
      <alignment horizontal="center" vertical="center"/>
    </xf>
    <xf numFmtId="37" fontId="11" fillId="2" borderId="59" xfId="0" applyNumberFormat="1" applyFont="1" applyFill="1" applyBorder="1" applyAlignment="1">
      <alignment horizontal="center" vertical="center"/>
    </xf>
    <xf numFmtId="37" fontId="11" fillId="2" borderId="9" xfId="0" applyNumberFormat="1" applyFont="1" applyFill="1" applyBorder="1" applyAlignment="1">
      <alignment horizontal="center" vertical="center"/>
    </xf>
    <xf numFmtId="37" fontId="11" fillId="2" borderId="6" xfId="0" applyNumberFormat="1" applyFont="1" applyFill="1" applyBorder="1" applyAlignment="1">
      <alignment horizontal="center" vertical="center"/>
    </xf>
    <xf numFmtId="37" fontId="47" fillId="0" borderId="18" xfId="0" applyNumberFormat="1" applyFont="1" applyFill="1" applyBorder="1" applyAlignment="1">
      <alignment horizontal="center" vertical="center" wrapText="1"/>
    </xf>
    <xf numFmtId="37" fontId="47" fillId="0" borderId="0" xfId="0" applyNumberFormat="1" applyFont="1" applyFill="1" applyBorder="1" applyAlignment="1">
      <alignment horizontal="center" vertical="center" wrapText="1"/>
    </xf>
    <xf numFmtId="37" fontId="47" fillId="0" borderId="17" xfId="0" applyNumberFormat="1" applyFont="1" applyFill="1" applyBorder="1" applyAlignment="1">
      <alignment horizontal="center" vertical="center" wrapText="1"/>
    </xf>
    <xf numFmtId="37" fontId="47" fillId="0" borderId="87" xfId="0" applyNumberFormat="1" applyFont="1" applyFill="1" applyBorder="1" applyAlignment="1">
      <alignment horizontal="center" vertical="center" wrapText="1"/>
    </xf>
    <xf numFmtId="37" fontId="47" fillId="0" borderId="48" xfId="0" applyNumberFormat="1" applyFont="1" applyFill="1" applyBorder="1" applyAlignment="1">
      <alignment horizontal="center" vertical="center" wrapText="1"/>
    </xf>
    <xf numFmtId="37" fontId="47" fillId="0" borderId="58" xfId="0" applyNumberFormat="1" applyFont="1" applyFill="1" applyBorder="1" applyAlignment="1">
      <alignment horizontal="center" vertical="center" wrapText="1"/>
    </xf>
    <xf numFmtId="37" fontId="47" fillId="0" borderId="87" xfId="0" applyNumberFormat="1" applyFont="1" applyFill="1" applyBorder="1" applyAlignment="1">
      <alignment horizontal="center" vertical="top" wrapText="1"/>
    </xf>
    <xf numFmtId="37" fontId="47" fillId="0" borderId="18" xfId="0" applyNumberFormat="1" applyFont="1" applyFill="1" applyBorder="1" applyAlignment="1">
      <alignment horizontal="center" vertical="top" wrapText="1"/>
    </xf>
    <xf numFmtId="37" fontId="47" fillId="0" borderId="48" xfId="0" applyNumberFormat="1" applyFont="1" applyFill="1" applyBorder="1" applyAlignment="1">
      <alignment horizontal="center" vertical="top" wrapText="1"/>
    </xf>
    <xf numFmtId="37" fontId="47" fillId="0" borderId="0" xfId="0" applyNumberFormat="1" applyFont="1" applyFill="1" applyBorder="1" applyAlignment="1">
      <alignment horizontal="center" vertical="top" wrapText="1"/>
    </xf>
    <xf numFmtId="37" fontId="47" fillId="0" borderId="58" xfId="0" applyNumberFormat="1" applyFont="1" applyFill="1" applyBorder="1" applyAlignment="1">
      <alignment horizontal="center" vertical="top" wrapText="1"/>
    </xf>
    <xf numFmtId="37" fontId="47" fillId="0" borderId="17" xfId="0" applyNumberFormat="1" applyFont="1" applyFill="1" applyBorder="1" applyAlignment="1">
      <alignment horizontal="center" vertical="top" wrapText="1"/>
    </xf>
    <xf numFmtId="166" fontId="11" fillId="2" borderId="60" xfId="0" applyNumberFormat="1" applyFont="1" applyFill="1" applyBorder="1" applyAlignment="1">
      <alignment horizontal="center" vertical="center"/>
    </xf>
    <xf numFmtId="166" fontId="11" fillId="2" borderId="29" xfId="0" applyNumberFormat="1" applyFont="1" applyFill="1" applyBorder="1" applyAlignment="1">
      <alignment horizontal="center" vertical="center"/>
    </xf>
    <xf numFmtId="166" fontId="11" fillId="2" borderId="61" xfId="0" applyNumberFormat="1" applyFont="1" applyFill="1" applyBorder="1" applyAlignment="1">
      <alignment horizontal="center" vertical="center"/>
    </xf>
    <xf numFmtId="166" fontId="11" fillId="0" borderId="54" xfId="1" applyNumberFormat="1" applyFont="1" applyFill="1" applyBorder="1" applyAlignment="1">
      <alignment horizontal="center" vertical="center"/>
    </xf>
    <xf numFmtId="166" fontId="11" fillId="0" borderId="52" xfId="1" applyNumberFormat="1" applyFont="1" applyFill="1" applyBorder="1" applyAlignment="1">
      <alignment horizontal="center" vertical="center"/>
    </xf>
    <xf numFmtId="166" fontId="11" fillId="0" borderId="55" xfId="1" applyNumberFormat="1" applyFont="1" applyFill="1" applyBorder="1" applyAlignment="1">
      <alignment horizontal="center" vertical="center"/>
    </xf>
    <xf numFmtId="166" fontId="11" fillId="0" borderId="48" xfId="1" applyNumberFormat="1" applyFont="1" applyFill="1" applyBorder="1" applyAlignment="1">
      <alignment horizontal="center" vertical="center"/>
    </xf>
    <xf numFmtId="166" fontId="11" fillId="0" borderId="0" xfId="1" applyNumberFormat="1" applyFont="1" applyFill="1" applyBorder="1" applyAlignment="1">
      <alignment horizontal="center" vertical="center"/>
    </xf>
    <xf numFmtId="166" fontId="11" fillId="0" borderId="62" xfId="1" applyNumberFormat="1" applyFont="1" applyFill="1" applyBorder="1" applyAlignment="1">
      <alignment horizontal="center" vertical="center"/>
    </xf>
    <xf numFmtId="166" fontId="11" fillId="0" borderId="58" xfId="1" applyNumberFormat="1" applyFont="1" applyFill="1" applyBorder="1" applyAlignment="1">
      <alignment horizontal="center" vertical="center"/>
    </xf>
    <xf numFmtId="166" fontId="11" fillId="0" borderId="17" xfId="1" applyNumberFormat="1" applyFont="1" applyFill="1" applyBorder="1" applyAlignment="1">
      <alignment horizontal="center" vertical="center"/>
    </xf>
    <xf numFmtId="166" fontId="11" fillId="0" borderId="8" xfId="1" applyNumberFormat="1" applyFont="1" applyFill="1" applyBorder="1" applyAlignment="1">
      <alignment horizontal="center" vertical="center"/>
    </xf>
    <xf numFmtId="39" fontId="11" fillId="3" borderId="59" xfId="0" applyNumberFormat="1" applyFont="1" applyFill="1" applyBorder="1" applyAlignment="1">
      <alignment horizontal="center" vertical="top" wrapText="1"/>
    </xf>
    <xf numFmtId="39" fontId="11" fillId="3" borderId="9" xfId="0" applyNumberFormat="1" applyFont="1" applyFill="1" applyBorder="1" applyAlignment="1">
      <alignment horizontal="center" vertical="top" wrapText="1"/>
    </xf>
    <xf numFmtId="39" fontId="11" fillId="3" borderId="6" xfId="0" applyNumberFormat="1" applyFont="1" applyFill="1" applyBorder="1" applyAlignment="1">
      <alignment horizontal="center" vertical="top" wrapText="1"/>
    </xf>
    <xf numFmtId="0" fontId="9" fillId="6" borderId="4" xfId="0" applyFont="1" applyFill="1" applyBorder="1" applyAlignment="1" applyProtection="1">
      <alignment vertical="center"/>
      <protection locked="0"/>
    </xf>
    <xf numFmtId="0" fontId="14" fillId="0" borderId="0" xfId="0" applyFont="1" applyFill="1" applyBorder="1" applyAlignment="1" applyProtection="1">
      <alignment horizontal="center" vertical="top"/>
      <protection locked="0"/>
    </xf>
    <xf numFmtId="0" fontId="4" fillId="3" borderId="46" xfId="0" applyFont="1" applyFill="1" applyBorder="1" applyAlignment="1" applyProtection="1">
      <alignment horizontal="center" wrapText="1"/>
      <protection locked="0"/>
    </xf>
    <xf numFmtId="0" fontId="4" fillId="3" borderId="47" xfId="0" applyFont="1" applyFill="1" applyBorder="1" applyAlignment="1" applyProtection="1">
      <alignment horizontal="center" wrapText="1"/>
      <protection locked="0"/>
    </xf>
    <xf numFmtId="0" fontId="9" fillId="4" borderId="30" xfId="0" applyFont="1" applyFill="1" applyBorder="1" applyAlignment="1" applyProtection="1">
      <alignment horizontal="center" vertical="center"/>
      <protection locked="0"/>
    </xf>
    <xf numFmtId="0" fontId="9" fillId="4" borderId="31" xfId="0" applyFont="1" applyFill="1" applyBorder="1" applyAlignment="1" applyProtection="1">
      <alignment horizontal="center" vertical="center"/>
      <protection locked="0"/>
    </xf>
    <xf numFmtId="0" fontId="4" fillId="4" borderId="30" xfId="0" applyFont="1" applyFill="1" applyBorder="1" applyAlignment="1" applyProtection="1">
      <alignment horizontal="center" vertical="center" wrapText="1"/>
      <protection locked="0"/>
    </xf>
    <xf numFmtId="0" fontId="4" fillId="4" borderId="31" xfId="0" applyFont="1" applyFill="1" applyBorder="1" applyAlignment="1" applyProtection="1">
      <alignment horizontal="center" vertical="center" wrapText="1"/>
      <protection locked="0"/>
    </xf>
    <xf numFmtId="0" fontId="9" fillId="4" borderId="48" xfId="0" applyFont="1" applyFill="1" applyBorder="1" applyAlignment="1" applyProtection="1">
      <alignment horizontal="center" vertical="center"/>
      <protection locked="0"/>
    </xf>
    <xf numFmtId="0" fontId="9" fillId="4" borderId="0" xfId="0" applyFont="1" applyFill="1" applyBorder="1" applyAlignment="1" applyProtection="1">
      <alignment horizontal="center" vertical="center"/>
      <protection locked="0"/>
    </xf>
    <xf numFmtId="0" fontId="9" fillId="6" borderId="5" xfId="0" applyFont="1" applyFill="1" applyBorder="1" applyAlignment="1" applyProtection="1">
      <alignment vertical="center"/>
      <protection locked="0"/>
    </xf>
    <xf numFmtId="0" fontId="9" fillId="6" borderId="6" xfId="0" applyFont="1" applyFill="1" applyBorder="1" applyAlignment="1" applyProtection="1">
      <alignment vertical="center"/>
      <protection locked="0"/>
    </xf>
    <xf numFmtId="0" fontId="14" fillId="0" borderId="19" xfId="0" applyFont="1" applyFill="1" applyBorder="1" applyAlignment="1" applyProtection="1">
      <alignment horizontal="center" vertical="top"/>
      <protection locked="0"/>
    </xf>
    <xf numFmtId="0" fontId="14" fillId="0" borderId="11" xfId="0" applyFont="1" applyFill="1" applyBorder="1" applyAlignment="1" applyProtection="1">
      <alignment horizontal="center" vertical="top"/>
      <protection locked="0"/>
    </xf>
    <xf numFmtId="0" fontId="34" fillId="0" borderId="5" xfId="0" applyFont="1" applyFill="1" applyBorder="1" applyAlignment="1" applyProtection="1">
      <alignment horizontal="center"/>
      <protection locked="0"/>
    </xf>
    <xf numFmtId="0" fontId="34" fillId="0" borderId="6" xfId="0" applyFont="1" applyFill="1" applyBorder="1" applyAlignment="1" applyProtection="1">
      <alignment horizontal="center"/>
      <protection locked="0"/>
    </xf>
  </cellXfs>
  <cellStyles count="8">
    <cellStyle name="Bad" xfId="5" builtinId="27"/>
    <cellStyle name="Comma" xfId="1" builtinId="3"/>
    <cellStyle name="Currency" xfId="3" builtinId="4"/>
    <cellStyle name="Good" xfId="4" builtinId="26"/>
    <cellStyle name="Input" xfId="7" builtinId="20"/>
    <cellStyle name="Neutral" xfId="6" builtinId="28"/>
    <cellStyle name="Normal" xfId="0" builtinId="0"/>
    <cellStyle name="Percent" xfId="2" builtinId="5"/>
  </cellStyles>
  <dxfs count="0"/>
  <tableStyles count="0" defaultTableStyle="TableStyleMedium9" defaultPivotStyle="PivotStyleLight16"/>
  <colors>
    <mruColors>
      <color rgb="FFDCDE9E"/>
      <color rgb="FFFFFFD5"/>
      <color rgb="FFFFFFB3"/>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4</xdr:col>
      <xdr:colOff>15876</xdr:colOff>
      <xdr:row>23</xdr:row>
      <xdr:rowOff>75081</xdr:rowOff>
    </xdr:from>
    <xdr:to>
      <xdr:col>6</xdr:col>
      <xdr:colOff>454979</xdr:colOff>
      <xdr:row>23</xdr:row>
      <xdr:rowOff>206374</xdr:rowOff>
    </xdr:to>
    <xdr:grpSp>
      <xdr:nvGrpSpPr>
        <xdr:cNvPr id="2" name="Group 2">
          <a:extLst>
            <a:ext uri="{FF2B5EF4-FFF2-40B4-BE49-F238E27FC236}">
              <a16:creationId xmlns:a16="http://schemas.microsoft.com/office/drawing/2014/main" id="{00000000-0008-0000-0000-000002000000}"/>
            </a:ext>
          </a:extLst>
        </xdr:cNvPr>
        <xdr:cNvGrpSpPr/>
      </xdr:nvGrpSpPr>
      <xdr:grpSpPr>
        <a:xfrm>
          <a:off x="4619626" y="8975664"/>
          <a:ext cx="1783186" cy="131293"/>
          <a:chOff x="0" y="0"/>
          <a:chExt cx="1371600" cy="76200"/>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twoCellAnchor>
  <xdr:oneCellAnchor>
    <xdr:from>
      <xdr:col>8</xdr:col>
      <xdr:colOff>39687</xdr:colOff>
      <xdr:row>36</xdr:row>
      <xdr:rowOff>198438</xdr:rowOff>
    </xdr:from>
    <xdr:ext cx="865187" cy="95250"/>
    <xdr:grpSp>
      <xdr:nvGrpSpPr>
        <xdr:cNvPr id="5" name="Group 2">
          <a:extLst>
            <a:ext uri="{FF2B5EF4-FFF2-40B4-BE49-F238E27FC236}">
              <a16:creationId xmlns:a16="http://schemas.microsoft.com/office/drawing/2014/main" id="{00000000-0008-0000-0000-000005000000}"/>
            </a:ext>
          </a:extLst>
        </xdr:cNvPr>
        <xdr:cNvGrpSpPr/>
      </xdr:nvGrpSpPr>
      <xdr:grpSpPr>
        <a:xfrm>
          <a:off x="7659687" y="15089188"/>
          <a:ext cx="865187" cy="95250"/>
          <a:chOff x="0" y="0"/>
          <a:chExt cx="1371600" cy="76200"/>
        </a:xfrm>
      </xdr:grpSpPr>
      <xdr:sp macro="" textlink="">
        <xdr:nvSpPr>
          <xdr:cNvPr id="6" name="Shape 3">
            <a:extLst>
              <a:ext uri="{FF2B5EF4-FFF2-40B4-BE49-F238E27FC236}">
                <a16:creationId xmlns:a16="http://schemas.microsoft.com/office/drawing/2014/main" id="{00000000-0008-0000-0000-000006000000}"/>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7" name="Shape 4">
            <a:extLst>
              <a:ext uri="{FF2B5EF4-FFF2-40B4-BE49-F238E27FC236}">
                <a16:creationId xmlns:a16="http://schemas.microsoft.com/office/drawing/2014/main" id="{00000000-0008-0000-0000-000007000000}"/>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oneCellAnchor>
    <xdr:from>
      <xdr:col>8</xdr:col>
      <xdr:colOff>31749</xdr:colOff>
      <xdr:row>37</xdr:row>
      <xdr:rowOff>158750</xdr:rowOff>
    </xdr:from>
    <xdr:ext cx="865187" cy="103188"/>
    <xdr:grpSp>
      <xdr:nvGrpSpPr>
        <xdr:cNvPr id="17" name="Group 2">
          <a:extLst>
            <a:ext uri="{FF2B5EF4-FFF2-40B4-BE49-F238E27FC236}">
              <a16:creationId xmlns:a16="http://schemas.microsoft.com/office/drawing/2014/main" id="{00000000-0008-0000-0000-000011000000}"/>
            </a:ext>
          </a:extLst>
        </xdr:cNvPr>
        <xdr:cNvGrpSpPr/>
      </xdr:nvGrpSpPr>
      <xdr:grpSpPr>
        <a:xfrm>
          <a:off x="7651749" y="15472833"/>
          <a:ext cx="865187" cy="103188"/>
          <a:chOff x="0" y="0"/>
          <a:chExt cx="1371600" cy="76200"/>
        </a:xfrm>
      </xdr:grpSpPr>
      <xdr:sp macro="" textlink="">
        <xdr:nvSpPr>
          <xdr:cNvPr id="18" name="Shape 3">
            <a:extLst>
              <a:ext uri="{FF2B5EF4-FFF2-40B4-BE49-F238E27FC236}">
                <a16:creationId xmlns:a16="http://schemas.microsoft.com/office/drawing/2014/main" id="{00000000-0008-0000-0000-000012000000}"/>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19" name="Shape 4">
            <a:extLst>
              <a:ext uri="{FF2B5EF4-FFF2-40B4-BE49-F238E27FC236}">
                <a16:creationId xmlns:a16="http://schemas.microsoft.com/office/drawing/2014/main" id="{00000000-0008-0000-0000-000013000000}"/>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oneCellAnchor>
    <xdr:from>
      <xdr:col>8</xdr:col>
      <xdr:colOff>31750</xdr:colOff>
      <xdr:row>38</xdr:row>
      <xdr:rowOff>121707</xdr:rowOff>
    </xdr:from>
    <xdr:ext cx="865187" cy="119063"/>
    <xdr:grpSp>
      <xdr:nvGrpSpPr>
        <xdr:cNvPr id="11" name="Group 2">
          <a:extLst>
            <a:ext uri="{FF2B5EF4-FFF2-40B4-BE49-F238E27FC236}">
              <a16:creationId xmlns:a16="http://schemas.microsoft.com/office/drawing/2014/main" id="{A09D969F-3730-4189-9334-CA39C35E605A}"/>
            </a:ext>
          </a:extLst>
        </xdr:cNvPr>
        <xdr:cNvGrpSpPr/>
      </xdr:nvGrpSpPr>
      <xdr:grpSpPr>
        <a:xfrm>
          <a:off x="7651750" y="15827374"/>
          <a:ext cx="865187" cy="119063"/>
          <a:chOff x="0" y="0"/>
          <a:chExt cx="1371600" cy="76200"/>
        </a:xfrm>
      </xdr:grpSpPr>
      <xdr:sp macro="" textlink="">
        <xdr:nvSpPr>
          <xdr:cNvPr id="12" name="Shape 3">
            <a:extLst>
              <a:ext uri="{FF2B5EF4-FFF2-40B4-BE49-F238E27FC236}">
                <a16:creationId xmlns:a16="http://schemas.microsoft.com/office/drawing/2014/main" id="{48C0D728-A6B1-48A4-B8FA-1CC42C1716B3}"/>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13" name="Shape 4">
            <a:extLst>
              <a:ext uri="{FF2B5EF4-FFF2-40B4-BE49-F238E27FC236}">
                <a16:creationId xmlns:a16="http://schemas.microsoft.com/office/drawing/2014/main" id="{63E250A1-8B59-4BD5-B538-C0F20A5EE3C3}"/>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oneCellAnchor>
    <xdr:from>
      <xdr:col>8</xdr:col>
      <xdr:colOff>47625</xdr:colOff>
      <xdr:row>39</xdr:row>
      <xdr:rowOff>111125</xdr:rowOff>
    </xdr:from>
    <xdr:ext cx="865187" cy="134936"/>
    <xdr:grpSp>
      <xdr:nvGrpSpPr>
        <xdr:cNvPr id="14" name="Group 2">
          <a:extLst>
            <a:ext uri="{FF2B5EF4-FFF2-40B4-BE49-F238E27FC236}">
              <a16:creationId xmlns:a16="http://schemas.microsoft.com/office/drawing/2014/main" id="{0571ED82-D63D-43ED-8864-9D266BC13200}"/>
            </a:ext>
          </a:extLst>
        </xdr:cNvPr>
        <xdr:cNvGrpSpPr/>
      </xdr:nvGrpSpPr>
      <xdr:grpSpPr>
        <a:xfrm>
          <a:off x="7667625" y="16144875"/>
          <a:ext cx="865187" cy="134936"/>
          <a:chOff x="0" y="0"/>
          <a:chExt cx="1371600" cy="76200"/>
        </a:xfrm>
      </xdr:grpSpPr>
      <xdr:sp macro="" textlink="">
        <xdr:nvSpPr>
          <xdr:cNvPr id="15" name="Shape 3">
            <a:extLst>
              <a:ext uri="{FF2B5EF4-FFF2-40B4-BE49-F238E27FC236}">
                <a16:creationId xmlns:a16="http://schemas.microsoft.com/office/drawing/2014/main" id="{2F59BBED-180E-479E-BE33-68465D8A4E81}"/>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16" name="Shape 4">
            <a:extLst>
              <a:ext uri="{FF2B5EF4-FFF2-40B4-BE49-F238E27FC236}">
                <a16:creationId xmlns:a16="http://schemas.microsoft.com/office/drawing/2014/main" id="{AB72BD68-7CCC-490E-98F1-E56D93A65C76}"/>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oneCellAnchor>
    <xdr:from>
      <xdr:col>8</xdr:col>
      <xdr:colOff>31749</xdr:colOff>
      <xdr:row>41</xdr:row>
      <xdr:rowOff>95251</xdr:rowOff>
    </xdr:from>
    <xdr:ext cx="865187" cy="142874"/>
    <xdr:grpSp>
      <xdr:nvGrpSpPr>
        <xdr:cNvPr id="20" name="Group 2">
          <a:extLst>
            <a:ext uri="{FF2B5EF4-FFF2-40B4-BE49-F238E27FC236}">
              <a16:creationId xmlns:a16="http://schemas.microsoft.com/office/drawing/2014/main" id="{08FF469C-B668-4B24-8545-0D4BB4782072}"/>
            </a:ext>
          </a:extLst>
        </xdr:cNvPr>
        <xdr:cNvGrpSpPr/>
      </xdr:nvGrpSpPr>
      <xdr:grpSpPr>
        <a:xfrm>
          <a:off x="7651749" y="16806334"/>
          <a:ext cx="865187" cy="142874"/>
          <a:chOff x="0" y="0"/>
          <a:chExt cx="1371600" cy="76200"/>
        </a:xfrm>
      </xdr:grpSpPr>
      <xdr:sp macro="" textlink="">
        <xdr:nvSpPr>
          <xdr:cNvPr id="21" name="Shape 3">
            <a:extLst>
              <a:ext uri="{FF2B5EF4-FFF2-40B4-BE49-F238E27FC236}">
                <a16:creationId xmlns:a16="http://schemas.microsoft.com/office/drawing/2014/main" id="{BF6F797C-0E5F-4E8F-9C57-D82FD57476F3}"/>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22" name="Shape 4">
            <a:extLst>
              <a:ext uri="{FF2B5EF4-FFF2-40B4-BE49-F238E27FC236}">
                <a16:creationId xmlns:a16="http://schemas.microsoft.com/office/drawing/2014/main" id="{877CC53E-F327-4782-B022-1DB5FFBA82DA}"/>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oneCellAnchor>
    <xdr:from>
      <xdr:col>8</xdr:col>
      <xdr:colOff>63499</xdr:colOff>
      <xdr:row>46</xdr:row>
      <xdr:rowOff>142874</xdr:rowOff>
    </xdr:from>
    <xdr:ext cx="865187" cy="119063"/>
    <xdr:grpSp>
      <xdr:nvGrpSpPr>
        <xdr:cNvPr id="23" name="Group 2">
          <a:extLst>
            <a:ext uri="{FF2B5EF4-FFF2-40B4-BE49-F238E27FC236}">
              <a16:creationId xmlns:a16="http://schemas.microsoft.com/office/drawing/2014/main" id="{C07E94CD-7E2D-4778-BBB9-91E4AC3B0FAD}"/>
            </a:ext>
          </a:extLst>
        </xdr:cNvPr>
        <xdr:cNvGrpSpPr/>
      </xdr:nvGrpSpPr>
      <xdr:grpSpPr>
        <a:xfrm>
          <a:off x="7683499" y="17848791"/>
          <a:ext cx="865187" cy="119063"/>
          <a:chOff x="0" y="0"/>
          <a:chExt cx="1371600" cy="76200"/>
        </a:xfrm>
      </xdr:grpSpPr>
      <xdr:sp macro="" textlink="">
        <xdr:nvSpPr>
          <xdr:cNvPr id="24" name="Shape 3">
            <a:extLst>
              <a:ext uri="{FF2B5EF4-FFF2-40B4-BE49-F238E27FC236}">
                <a16:creationId xmlns:a16="http://schemas.microsoft.com/office/drawing/2014/main" id="{4D95A17E-A728-4E31-B20B-9D13C810857B}"/>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25" name="Shape 4">
            <a:extLst>
              <a:ext uri="{FF2B5EF4-FFF2-40B4-BE49-F238E27FC236}">
                <a16:creationId xmlns:a16="http://schemas.microsoft.com/office/drawing/2014/main" id="{B2FD4487-0297-4A1D-A22A-B25A41BDBD0E}"/>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oneCellAnchor>
    <xdr:from>
      <xdr:col>8</xdr:col>
      <xdr:colOff>47625</xdr:colOff>
      <xdr:row>47</xdr:row>
      <xdr:rowOff>111125</xdr:rowOff>
    </xdr:from>
    <xdr:ext cx="865187" cy="134936"/>
    <xdr:grpSp>
      <xdr:nvGrpSpPr>
        <xdr:cNvPr id="26" name="Group 2">
          <a:extLst>
            <a:ext uri="{FF2B5EF4-FFF2-40B4-BE49-F238E27FC236}">
              <a16:creationId xmlns:a16="http://schemas.microsoft.com/office/drawing/2014/main" id="{434C1A71-496A-45D5-BD91-0DAB8791F3E0}"/>
            </a:ext>
          </a:extLst>
        </xdr:cNvPr>
        <xdr:cNvGrpSpPr/>
      </xdr:nvGrpSpPr>
      <xdr:grpSpPr>
        <a:xfrm>
          <a:off x="7667625" y="18028708"/>
          <a:ext cx="865187" cy="134936"/>
          <a:chOff x="0" y="0"/>
          <a:chExt cx="1371600" cy="76200"/>
        </a:xfrm>
      </xdr:grpSpPr>
      <xdr:sp macro="" textlink="">
        <xdr:nvSpPr>
          <xdr:cNvPr id="27" name="Shape 3">
            <a:extLst>
              <a:ext uri="{FF2B5EF4-FFF2-40B4-BE49-F238E27FC236}">
                <a16:creationId xmlns:a16="http://schemas.microsoft.com/office/drawing/2014/main" id="{5C88C512-0C60-4B4C-8962-EE5567519F3B}"/>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28" name="Shape 4">
            <a:extLst>
              <a:ext uri="{FF2B5EF4-FFF2-40B4-BE49-F238E27FC236}">
                <a16:creationId xmlns:a16="http://schemas.microsoft.com/office/drawing/2014/main" id="{86C900E5-0B62-4761-9374-F5CA1B843A8C}"/>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oneCellAnchor>
    <xdr:from>
      <xdr:col>8</xdr:col>
      <xdr:colOff>31749</xdr:colOff>
      <xdr:row>49</xdr:row>
      <xdr:rowOff>95251</xdr:rowOff>
    </xdr:from>
    <xdr:ext cx="865187" cy="142874"/>
    <xdr:grpSp>
      <xdr:nvGrpSpPr>
        <xdr:cNvPr id="29" name="Group 2">
          <a:extLst>
            <a:ext uri="{FF2B5EF4-FFF2-40B4-BE49-F238E27FC236}">
              <a16:creationId xmlns:a16="http://schemas.microsoft.com/office/drawing/2014/main" id="{A97B119E-FA91-410B-AAF2-C46D2F1E0A89}"/>
            </a:ext>
          </a:extLst>
        </xdr:cNvPr>
        <xdr:cNvGrpSpPr/>
      </xdr:nvGrpSpPr>
      <xdr:grpSpPr>
        <a:xfrm>
          <a:off x="7651749" y="18415001"/>
          <a:ext cx="865187" cy="142874"/>
          <a:chOff x="0" y="0"/>
          <a:chExt cx="1371600" cy="76200"/>
        </a:xfrm>
      </xdr:grpSpPr>
      <xdr:sp macro="" textlink="">
        <xdr:nvSpPr>
          <xdr:cNvPr id="30" name="Shape 3">
            <a:extLst>
              <a:ext uri="{FF2B5EF4-FFF2-40B4-BE49-F238E27FC236}">
                <a16:creationId xmlns:a16="http://schemas.microsoft.com/office/drawing/2014/main" id="{E8CADD73-7FB0-4347-A1EE-B4B195C517B2}"/>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31" name="Shape 4">
            <a:extLst>
              <a:ext uri="{FF2B5EF4-FFF2-40B4-BE49-F238E27FC236}">
                <a16:creationId xmlns:a16="http://schemas.microsoft.com/office/drawing/2014/main" id="{AF87239D-FCC3-406E-B070-9C7BF150AFCC}"/>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oneCellAnchor>
    <xdr:from>
      <xdr:col>8</xdr:col>
      <xdr:colOff>31750</xdr:colOff>
      <xdr:row>40</xdr:row>
      <xdr:rowOff>127000</xdr:rowOff>
    </xdr:from>
    <xdr:ext cx="865187" cy="134936"/>
    <xdr:grpSp>
      <xdr:nvGrpSpPr>
        <xdr:cNvPr id="32" name="Group 2">
          <a:extLst>
            <a:ext uri="{FF2B5EF4-FFF2-40B4-BE49-F238E27FC236}">
              <a16:creationId xmlns:a16="http://schemas.microsoft.com/office/drawing/2014/main" id="{9EE844DC-C898-4760-ACD8-188BF14A2E70}"/>
            </a:ext>
          </a:extLst>
        </xdr:cNvPr>
        <xdr:cNvGrpSpPr/>
      </xdr:nvGrpSpPr>
      <xdr:grpSpPr>
        <a:xfrm>
          <a:off x="7651750" y="16499417"/>
          <a:ext cx="865187" cy="134936"/>
          <a:chOff x="0" y="0"/>
          <a:chExt cx="1371600" cy="76200"/>
        </a:xfrm>
      </xdr:grpSpPr>
      <xdr:sp macro="" textlink="">
        <xdr:nvSpPr>
          <xdr:cNvPr id="33" name="Shape 3">
            <a:extLst>
              <a:ext uri="{FF2B5EF4-FFF2-40B4-BE49-F238E27FC236}">
                <a16:creationId xmlns:a16="http://schemas.microsoft.com/office/drawing/2014/main" id="{92747F98-95F9-4085-974E-72358F8ADAB9}"/>
              </a:ext>
            </a:extLst>
          </xdr:cNvPr>
          <xdr:cNvSpPr/>
        </xdr:nvSpPr>
        <xdr:spPr>
          <a:xfrm>
            <a:off x="0" y="38101"/>
            <a:ext cx="1308100" cy="0"/>
          </a:xfrm>
          <a:custGeom>
            <a:avLst/>
            <a:gdLst/>
            <a:ahLst/>
            <a:cxnLst/>
            <a:rect l="0" t="0" r="0" b="0"/>
            <a:pathLst>
              <a:path w="1308100">
                <a:moveTo>
                  <a:pt x="0" y="0"/>
                </a:moveTo>
                <a:lnTo>
                  <a:pt x="1308100" y="0"/>
                </a:lnTo>
              </a:path>
            </a:pathLst>
          </a:custGeom>
          <a:ln w="9525">
            <a:solidFill>
              <a:srgbClr val="000000"/>
            </a:solidFill>
          </a:ln>
        </xdr:spPr>
      </xdr:sp>
      <xdr:sp macro="" textlink="">
        <xdr:nvSpPr>
          <xdr:cNvPr id="34" name="Shape 4">
            <a:extLst>
              <a:ext uri="{FF2B5EF4-FFF2-40B4-BE49-F238E27FC236}">
                <a16:creationId xmlns:a16="http://schemas.microsoft.com/office/drawing/2014/main" id="{0721B01E-6126-4F98-8438-0A3B7422375D}"/>
              </a:ext>
            </a:extLst>
          </xdr:cNvPr>
          <xdr:cNvSpPr/>
        </xdr:nvSpPr>
        <xdr:spPr>
          <a:xfrm>
            <a:off x="1295401" y="0"/>
            <a:ext cx="76200" cy="76200"/>
          </a:xfrm>
          <a:custGeom>
            <a:avLst/>
            <a:gdLst/>
            <a:ahLst/>
            <a:cxnLst/>
            <a:rect l="0" t="0" r="0" b="0"/>
            <a:pathLst>
              <a:path w="76200" h="76200">
                <a:moveTo>
                  <a:pt x="0" y="0"/>
                </a:moveTo>
                <a:lnTo>
                  <a:pt x="0" y="76200"/>
                </a:lnTo>
                <a:lnTo>
                  <a:pt x="76200" y="38100"/>
                </a:lnTo>
                <a:lnTo>
                  <a:pt x="0"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Y52"/>
  <sheetViews>
    <sheetView tabSelected="1" zoomScale="80" zoomScaleNormal="80" workbookViewId="0">
      <selection activeCell="V6" sqref="V6"/>
    </sheetView>
  </sheetViews>
  <sheetFormatPr defaultRowHeight="12.75" x14ac:dyDescent="0.2"/>
  <cols>
    <col min="1" max="1" width="13.6640625" customWidth="1"/>
    <col min="2" max="2" width="22" customWidth="1"/>
    <col min="8" max="8" width="11" customWidth="1"/>
    <col min="11" max="11" width="11.1640625" customWidth="1"/>
    <col min="13" max="13" width="22.33203125" customWidth="1"/>
    <col min="14" max="14" width="3.1640625" customWidth="1"/>
    <col min="15" max="15" width="3.83203125" customWidth="1"/>
  </cols>
  <sheetData>
    <row r="2" spans="1:25" ht="21.75" thickBot="1" x14ac:dyDescent="0.25">
      <c r="A2" s="14"/>
      <c r="B2" s="14"/>
      <c r="C2" s="14"/>
      <c r="D2" s="14"/>
      <c r="E2" s="14"/>
      <c r="F2" s="14"/>
      <c r="G2" s="14"/>
      <c r="H2" s="14"/>
      <c r="I2" s="14"/>
      <c r="J2" s="14"/>
      <c r="K2" s="14"/>
      <c r="L2" s="14"/>
      <c r="M2" s="14"/>
      <c r="N2" s="14"/>
      <c r="O2" s="14"/>
      <c r="P2" s="14"/>
      <c r="Q2" s="14"/>
      <c r="R2" s="14"/>
      <c r="S2" s="14"/>
      <c r="T2" s="14"/>
      <c r="U2" s="14"/>
      <c r="V2" s="14"/>
      <c r="W2" s="14"/>
      <c r="X2" s="14"/>
      <c r="Y2" s="14"/>
    </row>
    <row r="3" spans="1:25" ht="73.5" customHeight="1" thickBot="1" x14ac:dyDescent="0.25">
      <c r="A3" s="313" t="s">
        <v>140</v>
      </c>
      <c r="B3" s="314"/>
      <c r="C3" s="314"/>
      <c r="D3" s="314"/>
      <c r="E3" s="314"/>
      <c r="F3" s="314"/>
      <c r="G3" s="314"/>
      <c r="H3" s="314"/>
      <c r="I3" s="314"/>
      <c r="J3" s="314"/>
      <c r="K3" s="314"/>
      <c r="L3" s="314"/>
      <c r="M3" s="314"/>
      <c r="N3" s="314"/>
      <c r="O3" s="314"/>
      <c r="P3" s="314"/>
      <c r="Q3" s="314"/>
      <c r="R3" s="314"/>
      <c r="S3" s="314"/>
      <c r="T3" s="315"/>
      <c r="U3" s="14"/>
      <c r="V3" s="14"/>
      <c r="W3" s="14"/>
      <c r="X3" s="14"/>
      <c r="Y3" s="14"/>
    </row>
    <row r="4" spans="1:25" ht="73.5" customHeight="1" thickBot="1" x14ac:dyDescent="0.25">
      <c r="A4" s="200"/>
      <c r="B4" s="200"/>
      <c r="C4" s="200"/>
      <c r="D4" s="200"/>
      <c r="E4" s="200"/>
      <c r="F4" s="200"/>
      <c r="G4" s="200"/>
      <c r="H4" s="200"/>
      <c r="I4" s="200"/>
      <c r="J4" s="200"/>
      <c r="K4" s="200"/>
      <c r="L4" s="200"/>
      <c r="M4" s="200"/>
      <c r="N4" s="200"/>
      <c r="O4" s="200"/>
      <c r="P4" s="200"/>
      <c r="Q4" s="200"/>
      <c r="R4" s="200"/>
      <c r="S4" s="200"/>
      <c r="T4" s="200"/>
      <c r="U4" s="21"/>
      <c r="V4" s="21"/>
      <c r="W4" s="21"/>
      <c r="X4" s="21"/>
      <c r="Y4" s="21"/>
    </row>
    <row r="5" spans="1:25" ht="21.75" customHeight="1" x14ac:dyDescent="0.2">
      <c r="A5" s="326" t="s">
        <v>136</v>
      </c>
      <c r="B5" s="326"/>
      <c r="C5" s="327" t="s">
        <v>137</v>
      </c>
      <c r="D5" s="328"/>
      <c r="E5" s="328"/>
      <c r="F5" s="328"/>
      <c r="G5" s="328"/>
      <c r="H5" s="328"/>
      <c r="I5" s="328"/>
      <c r="J5" s="328"/>
      <c r="K5" s="328"/>
      <c r="L5" s="328"/>
      <c r="M5" s="328"/>
      <c r="N5" s="328"/>
      <c r="O5" s="329"/>
      <c r="P5" s="200"/>
      <c r="Q5" s="200"/>
      <c r="R5" s="200"/>
      <c r="S5" s="200"/>
      <c r="T5" s="200"/>
      <c r="U5" s="21"/>
      <c r="V5" s="21"/>
      <c r="W5" s="21"/>
      <c r="X5" s="21"/>
      <c r="Y5" s="21"/>
    </row>
    <row r="6" spans="1:25" ht="21.75" customHeight="1" thickBot="1" x14ac:dyDescent="0.25">
      <c r="A6" s="200"/>
      <c r="B6" s="200"/>
      <c r="C6" s="330"/>
      <c r="D6" s="331"/>
      <c r="E6" s="331"/>
      <c r="F6" s="331"/>
      <c r="G6" s="331"/>
      <c r="H6" s="331"/>
      <c r="I6" s="331"/>
      <c r="J6" s="331"/>
      <c r="K6" s="331"/>
      <c r="L6" s="331"/>
      <c r="M6" s="331"/>
      <c r="N6" s="331"/>
      <c r="O6" s="332"/>
      <c r="P6" s="200"/>
      <c r="Q6" s="200"/>
      <c r="R6" s="200"/>
      <c r="S6" s="200"/>
      <c r="T6" s="200"/>
      <c r="U6" s="21"/>
      <c r="V6" s="21"/>
      <c r="W6" s="21"/>
      <c r="X6" s="21"/>
      <c r="Y6" s="21"/>
    </row>
    <row r="7" spans="1:25" ht="21.75" thickBot="1" x14ac:dyDescent="0.25">
      <c r="A7" s="63"/>
      <c r="B7" s="63"/>
      <c r="C7" s="14"/>
      <c r="D7" s="14"/>
      <c r="E7" s="14"/>
      <c r="F7" s="14"/>
      <c r="G7" s="14"/>
      <c r="H7" s="14"/>
      <c r="I7" s="14"/>
      <c r="J7" s="14"/>
      <c r="K7" s="14"/>
      <c r="L7" s="14"/>
      <c r="M7" s="14"/>
      <c r="N7" s="14"/>
      <c r="O7" s="14"/>
      <c r="P7" s="14"/>
      <c r="Q7" s="14"/>
      <c r="R7" s="14"/>
      <c r="S7" s="14"/>
      <c r="T7" s="14"/>
      <c r="U7" s="14"/>
      <c r="V7" s="14"/>
      <c r="W7" s="14"/>
      <c r="X7" s="14"/>
      <c r="Y7" s="14"/>
    </row>
    <row r="8" spans="1:25" ht="21" x14ac:dyDescent="0.2">
      <c r="A8" s="87" t="s">
        <v>36</v>
      </c>
      <c r="B8" s="87"/>
      <c r="C8" s="73" t="s">
        <v>77</v>
      </c>
      <c r="D8" s="74"/>
      <c r="E8" s="74"/>
      <c r="F8" s="74"/>
      <c r="G8" s="74"/>
      <c r="H8" s="74"/>
      <c r="I8" s="74"/>
      <c r="J8" s="74"/>
      <c r="K8" s="74"/>
      <c r="L8" s="74"/>
      <c r="M8" s="74"/>
      <c r="N8" s="74"/>
      <c r="O8" s="75"/>
      <c r="P8" s="14"/>
      <c r="Q8" s="14"/>
      <c r="R8" s="14"/>
      <c r="S8" s="14"/>
      <c r="T8" s="14"/>
      <c r="U8" s="14"/>
      <c r="V8" s="14"/>
      <c r="W8" s="14"/>
      <c r="X8" s="14"/>
      <c r="Y8" s="14"/>
    </row>
    <row r="9" spans="1:25" ht="21" x14ac:dyDescent="0.2">
      <c r="A9" s="63"/>
      <c r="B9" s="63"/>
      <c r="C9" s="76" t="s">
        <v>76</v>
      </c>
      <c r="D9" s="21"/>
      <c r="E9" s="21"/>
      <c r="F9" s="21"/>
      <c r="G9" s="21"/>
      <c r="H9" s="21"/>
      <c r="I9" s="21"/>
      <c r="J9" s="21"/>
      <c r="K9" s="21"/>
      <c r="L9" s="21"/>
      <c r="M9" s="21"/>
      <c r="N9" s="21"/>
      <c r="O9" s="77"/>
      <c r="P9" s="14"/>
      <c r="Q9" s="14"/>
      <c r="R9" s="21"/>
      <c r="S9" s="14"/>
      <c r="T9" s="14"/>
      <c r="U9" s="14"/>
      <c r="V9" s="14"/>
      <c r="W9" s="14"/>
      <c r="X9" s="14"/>
      <c r="Y9" s="14"/>
    </row>
    <row r="10" spans="1:25" ht="21" x14ac:dyDescent="0.2">
      <c r="A10" s="63"/>
      <c r="B10" s="63"/>
      <c r="C10" s="76" t="s">
        <v>37</v>
      </c>
      <c r="D10" s="21"/>
      <c r="E10" s="21"/>
      <c r="F10" s="21"/>
      <c r="G10" s="21"/>
      <c r="H10" s="21"/>
      <c r="I10" s="21"/>
      <c r="J10" s="21"/>
      <c r="K10" s="21"/>
      <c r="L10" s="21"/>
      <c r="M10" s="21"/>
      <c r="N10" s="21"/>
      <c r="O10" s="77"/>
      <c r="P10" s="14"/>
      <c r="Q10" s="14"/>
      <c r="R10" s="14"/>
      <c r="S10" s="14"/>
      <c r="T10" s="14"/>
      <c r="U10" s="14"/>
      <c r="V10" s="14"/>
      <c r="W10" s="14"/>
      <c r="X10" s="14"/>
      <c r="Y10" s="14"/>
    </row>
    <row r="11" spans="1:25" ht="21" x14ac:dyDescent="0.2">
      <c r="A11" s="63"/>
      <c r="B11" s="63"/>
      <c r="C11" s="76" t="s">
        <v>38</v>
      </c>
      <c r="D11" s="21"/>
      <c r="E11" s="21"/>
      <c r="F11" s="21"/>
      <c r="G11" s="21"/>
      <c r="H11" s="21"/>
      <c r="I11" s="21"/>
      <c r="J11" s="21"/>
      <c r="K11" s="21"/>
      <c r="L11" s="21"/>
      <c r="M11" s="21"/>
      <c r="N11" s="21"/>
      <c r="O11" s="77"/>
      <c r="P11" s="14"/>
      <c r="Q11" s="14"/>
      <c r="R11" s="14"/>
      <c r="S11" s="14"/>
      <c r="T11" s="14"/>
      <c r="U11" s="14"/>
      <c r="V11" s="14"/>
      <c r="W11" s="14"/>
      <c r="X11" s="14"/>
      <c r="Y11" s="14"/>
    </row>
    <row r="12" spans="1:25" ht="21" x14ac:dyDescent="0.2">
      <c r="A12" s="63"/>
      <c r="B12" s="63"/>
      <c r="C12" s="76" t="s">
        <v>78</v>
      </c>
      <c r="D12" s="21"/>
      <c r="E12" s="21"/>
      <c r="F12" s="21"/>
      <c r="G12" s="21"/>
      <c r="H12" s="21"/>
      <c r="I12" s="21"/>
      <c r="J12" s="21"/>
      <c r="K12" s="21"/>
      <c r="L12" s="21"/>
      <c r="M12" s="21"/>
      <c r="N12" s="21"/>
      <c r="O12" s="77"/>
      <c r="P12" s="14"/>
      <c r="Q12" s="14"/>
      <c r="R12" s="14"/>
      <c r="S12" s="14"/>
      <c r="T12" s="14"/>
      <c r="U12" s="14"/>
      <c r="V12" s="14"/>
      <c r="W12" s="14"/>
      <c r="X12" s="14"/>
      <c r="Y12" s="14"/>
    </row>
    <row r="13" spans="1:25" ht="21" x14ac:dyDescent="0.2">
      <c r="A13" s="63"/>
      <c r="B13" s="63"/>
      <c r="C13" s="76"/>
      <c r="D13" s="21"/>
      <c r="E13" s="21"/>
      <c r="F13" s="21"/>
      <c r="G13" s="21"/>
      <c r="H13" s="21"/>
      <c r="I13" s="21"/>
      <c r="J13" s="21"/>
      <c r="K13" s="21"/>
      <c r="L13" s="21"/>
      <c r="M13" s="21"/>
      <c r="N13" s="21"/>
      <c r="O13" s="77"/>
      <c r="P13" s="14"/>
      <c r="Q13" s="14"/>
      <c r="R13" s="14"/>
      <c r="S13" s="14"/>
      <c r="T13" s="14"/>
      <c r="U13" s="14"/>
      <c r="V13" s="14"/>
      <c r="W13" s="14"/>
      <c r="X13" s="14"/>
      <c r="Y13" s="14"/>
    </row>
    <row r="14" spans="1:25" ht="21" x14ac:dyDescent="0.35">
      <c r="A14" s="63"/>
      <c r="B14" s="63"/>
      <c r="C14" s="78" t="s">
        <v>79</v>
      </c>
      <c r="D14" s="21" t="s">
        <v>80</v>
      </c>
      <c r="E14" s="21"/>
      <c r="F14" s="21"/>
      <c r="G14" s="21"/>
      <c r="H14" s="21"/>
      <c r="I14" s="21"/>
      <c r="J14" s="21"/>
      <c r="K14" s="21"/>
      <c r="L14" s="21"/>
      <c r="M14" s="21"/>
      <c r="N14" s="21"/>
      <c r="O14" s="77"/>
      <c r="P14" s="14"/>
      <c r="Q14" s="14"/>
      <c r="R14" s="14"/>
      <c r="S14" s="14"/>
      <c r="T14" s="14"/>
      <c r="U14" s="14"/>
      <c r="V14" s="14"/>
      <c r="W14" s="14"/>
      <c r="X14" s="14"/>
      <c r="Y14" s="14"/>
    </row>
    <row r="15" spans="1:25" ht="21" x14ac:dyDescent="0.2">
      <c r="A15" s="63"/>
      <c r="B15" s="63"/>
      <c r="C15" s="76" t="s">
        <v>81</v>
      </c>
      <c r="D15" s="21" t="s">
        <v>138</v>
      </c>
      <c r="E15" s="21"/>
      <c r="F15" s="21"/>
      <c r="G15" s="21"/>
      <c r="H15" s="21"/>
      <c r="I15" s="21"/>
      <c r="J15" s="21"/>
      <c r="K15" s="21"/>
      <c r="L15" s="21"/>
      <c r="M15" s="21"/>
      <c r="N15" s="21"/>
      <c r="O15" s="77"/>
      <c r="P15" s="21"/>
      <c r="Q15" s="21"/>
      <c r="R15" s="21"/>
      <c r="S15" s="21"/>
      <c r="T15" s="21"/>
      <c r="U15" s="21"/>
      <c r="V15" s="21"/>
      <c r="W15" s="21"/>
      <c r="X15" s="21"/>
      <c r="Y15" s="21"/>
    </row>
    <row r="16" spans="1:25" ht="21" x14ac:dyDescent="0.2">
      <c r="A16" s="64"/>
      <c r="B16" s="64"/>
      <c r="C16" s="76" t="s">
        <v>79</v>
      </c>
      <c r="D16" s="21" t="s">
        <v>139</v>
      </c>
      <c r="E16" s="21"/>
      <c r="F16" s="21"/>
      <c r="G16" s="21"/>
      <c r="H16" s="21"/>
      <c r="I16" s="21"/>
      <c r="J16" s="21"/>
      <c r="K16" s="21"/>
      <c r="L16" s="21"/>
      <c r="M16" s="21"/>
      <c r="N16" s="21"/>
      <c r="O16" s="77"/>
      <c r="P16" s="21"/>
      <c r="Q16" s="21"/>
      <c r="R16" s="21"/>
      <c r="S16" s="21"/>
      <c r="T16" s="21"/>
      <c r="U16" s="21"/>
      <c r="V16" s="21"/>
      <c r="W16" s="21"/>
      <c r="X16" s="21"/>
      <c r="Y16" s="21"/>
    </row>
    <row r="17" spans="1:25" ht="21.75" thickBot="1" x14ac:dyDescent="0.25">
      <c r="A17" s="63"/>
      <c r="B17" s="63"/>
      <c r="C17" s="79" t="s">
        <v>79</v>
      </c>
      <c r="D17" s="80" t="s">
        <v>87</v>
      </c>
      <c r="E17" s="80"/>
      <c r="F17" s="80"/>
      <c r="G17" s="80"/>
      <c r="H17" s="80"/>
      <c r="I17" s="80"/>
      <c r="J17" s="80"/>
      <c r="K17" s="80"/>
      <c r="L17" s="80"/>
      <c r="M17" s="80"/>
      <c r="N17" s="80"/>
      <c r="O17" s="81"/>
      <c r="P17" s="21"/>
      <c r="Q17" s="21"/>
      <c r="R17" s="21"/>
      <c r="S17" s="21"/>
      <c r="T17" s="21"/>
      <c r="U17" s="21"/>
      <c r="V17" s="21"/>
      <c r="W17" s="21"/>
      <c r="X17" s="21"/>
      <c r="Y17" s="21"/>
    </row>
    <row r="18" spans="1:25" ht="21.75" thickBot="1" x14ac:dyDescent="0.25">
      <c r="A18" s="64"/>
      <c r="B18" s="64"/>
      <c r="C18" s="21"/>
      <c r="D18" s="21"/>
      <c r="E18" s="21"/>
      <c r="F18" s="21"/>
      <c r="G18" s="21"/>
      <c r="H18" s="21"/>
      <c r="I18" s="21"/>
      <c r="J18" s="21"/>
      <c r="K18" s="21"/>
      <c r="L18" s="21"/>
      <c r="M18" s="21"/>
      <c r="N18" s="21"/>
      <c r="O18" s="21"/>
      <c r="P18" s="21"/>
      <c r="Q18" s="21"/>
      <c r="R18" s="21"/>
      <c r="S18" s="21"/>
      <c r="T18" s="21"/>
      <c r="U18" s="21"/>
      <c r="V18" s="21"/>
      <c r="W18" s="21"/>
      <c r="X18" s="21"/>
      <c r="Y18" s="21"/>
    </row>
    <row r="19" spans="1:25" ht="18.75" customHeight="1" x14ac:dyDescent="0.2">
      <c r="A19" s="88" t="s">
        <v>40</v>
      </c>
      <c r="B19" s="88"/>
      <c r="C19" s="320" t="s">
        <v>86</v>
      </c>
      <c r="D19" s="321"/>
      <c r="E19" s="321"/>
      <c r="F19" s="321"/>
      <c r="G19" s="321"/>
      <c r="H19" s="321"/>
      <c r="I19" s="321"/>
      <c r="J19" s="321"/>
      <c r="K19" s="321"/>
      <c r="L19" s="321"/>
      <c r="M19" s="321"/>
      <c r="N19" s="321"/>
      <c r="O19" s="322"/>
      <c r="P19" s="21"/>
      <c r="Q19" s="21"/>
      <c r="R19" s="21"/>
      <c r="S19" s="21"/>
      <c r="T19" s="21"/>
      <c r="U19" s="21"/>
      <c r="V19" s="21"/>
      <c r="W19" s="21"/>
      <c r="X19" s="21"/>
      <c r="Y19" s="21"/>
    </row>
    <row r="20" spans="1:25" ht="18.75" customHeight="1" thickBot="1" x14ac:dyDescent="0.25">
      <c r="A20" s="64"/>
      <c r="B20" s="64"/>
      <c r="C20" s="323"/>
      <c r="D20" s="324"/>
      <c r="E20" s="324"/>
      <c r="F20" s="324"/>
      <c r="G20" s="324"/>
      <c r="H20" s="324"/>
      <c r="I20" s="324"/>
      <c r="J20" s="324"/>
      <c r="K20" s="324"/>
      <c r="L20" s="324"/>
      <c r="M20" s="324"/>
      <c r="N20" s="324"/>
      <c r="O20" s="325"/>
      <c r="P20" s="21"/>
      <c r="Q20" s="21"/>
      <c r="R20" s="21"/>
      <c r="S20" s="21"/>
      <c r="T20" s="21"/>
      <c r="U20" s="21"/>
      <c r="V20" s="21"/>
      <c r="W20" s="21"/>
      <c r="X20" s="21"/>
      <c r="Y20" s="21"/>
    </row>
    <row r="21" spans="1:25" ht="21.75" customHeight="1" thickBot="1" x14ac:dyDescent="0.25">
      <c r="A21" s="64"/>
      <c r="B21" s="64"/>
      <c r="C21" s="116"/>
      <c r="D21" s="116"/>
      <c r="E21" s="116"/>
      <c r="F21" s="116"/>
      <c r="G21" s="116"/>
      <c r="H21" s="116"/>
      <c r="I21" s="116"/>
      <c r="J21" s="116"/>
      <c r="K21" s="116"/>
      <c r="L21" s="116"/>
      <c r="M21" s="116"/>
      <c r="N21" s="116"/>
      <c r="O21" s="116"/>
      <c r="P21" s="21"/>
      <c r="Q21" s="21"/>
      <c r="R21" s="21"/>
      <c r="S21" s="21"/>
      <c r="T21" s="21"/>
      <c r="U21" s="21"/>
      <c r="V21" s="21"/>
      <c r="W21" s="21"/>
      <c r="X21" s="21"/>
      <c r="Y21" s="21"/>
    </row>
    <row r="22" spans="1:25" ht="21.75" thickBot="1" x14ac:dyDescent="0.25">
      <c r="A22" s="117" t="s">
        <v>99</v>
      </c>
      <c r="B22" s="117"/>
      <c r="C22" s="317" t="s">
        <v>100</v>
      </c>
      <c r="D22" s="318"/>
      <c r="E22" s="318"/>
      <c r="F22" s="318"/>
      <c r="G22" s="318"/>
      <c r="H22" s="318"/>
      <c r="I22" s="318"/>
      <c r="J22" s="318"/>
      <c r="K22" s="318"/>
      <c r="L22" s="318"/>
      <c r="M22" s="318"/>
      <c r="N22" s="318"/>
      <c r="O22" s="319"/>
      <c r="P22" s="21"/>
      <c r="Q22" s="21"/>
      <c r="R22" s="21"/>
      <c r="S22" s="21"/>
      <c r="T22" s="21"/>
      <c r="U22" s="21"/>
      <c r="V22" s="21"/>
      <c r="W22" s="21"/>
      <c r="X22" s="21"/>
      <c r="Y22" s="21"/>
    </row>
    <row r="23" spans="1:25" ht="21.75" thickBot="1" x14ac:dyDescent="0.25">
      <c r="A23" s="63"/>
      <c r="B23" s="63"/>
      <c r="C23" s="21"/>
      <c r="D23" s="21"/>
      <c r="E23" s="21"/>
      <c r="F23" s="21"/>
      <c r="G23" s="21"/>
      <c r="H23" s="21"/>
      <c r="I23" s="21"/>
      <c r="J23" s="21"/>
      <c r="K23" s="21"/>
      <c r="L23" s="21"/>
      <c r="M23" s="21"/>
      <c r="N23" s="21"/>
      <c r="O23" s="21"/>
      <c r="P23" s="21"/>
      <c r="Q23" s="21"/>
      <c r="R23" s="21"/>
      <c r="S23" s="21"/>
      <c r="T23" s="21"/>
      <c r="U23" s="21"/>
      <c r="V23" s="21"/>
      <c r="W23" s="21"/>
      <c r="X23" s="21"/>
      <c r="Y23" s="21"/>
    </row>
    <row r="24" spans="1:25" ht="21" x14ac:dyDescent="0.2">
      <c r="A24" s="89" t="s">
        <v>39</v>
      </c>
      <c r="B24" s="89"/>
      <c r="C24" s="305" t="s">
        <v>82</v>
      </c>
      <c r="D24" s="306"/>
      <c r="E24" s="306"/>
      <c r="F24" s="306"/>
      <c r="G24" s="306"/>
      <c r="H24" s="306"/>
      <c r="I24" s="306"/>
      <c r="J24" s="306"/>
      <c r="K24" s="306"/>
      <c r="L24" s="306"/>
      <c r="M24" s="306"/>
      <c r="N24" s="306"/>
      <c r="O24" s="307"/>
      <c r="P24" s="14"/>
      <c r="Q24" s="14"/>
      <c r="R24" s="14"/>
      <c r="S24" s="14"/>
      <c r="T24" s="14"/>
      <c r="U24" s="14"/>
      <c r="V24" s="14"/>
      <c r="W24" s="14"/>
      <c r="X24" s="14"/>
      <c r="Y24" s="14"/>
    </row>
    <row r="25" spans="1:25" ht="21.75" thickBot="1" x14ac:dyDescent="0.25">
      <c r="A25" s="63"/>
      <c r="B25" s="63"/>
      <c r="C25" s="311"/>
      <c r="D25" s="312"/>
      <c r="E25" s="312"/>
      <c r="F25" s="312"/>
      <c r="G25" s="312"/>
      <c r="H25" s="312"/>
      <c r="I25" s="312"/>
      <c r="J25" s="312"/>
      <c r="K25" s="312"/>
      <c r="L25" s="312"/>
      <c r="M25" s="312"/>
      <c r="N25" s="312"/>
      <c r="O25" s="310"/>
      <c r="P25" s="14"/>
      <c r="Q25" s="14"/>
      <c r="R25" s="14"/>
      <c r="S25" s="14"/>
      <c r="T25" s="14"/>
      <c r="U25" s="14"/>
      <c r="V25" s="14"/>
      <c r="W25" s="14"/>
      <c r="X25" s="14"/>
      <c r="Y25" s="14"/>
    </row>
    <row r="26" spans="1:25" ht="21" x14ac:dyDescent="0.2">
      <c r="A26" s="63"/>
      <c r="B26" s="63"/>
      <c r="C26" s="14"/>
      <c r="D26" s="14"/>
      <c r="E26" s="14"/>
      <c r="F26" s="14"/>
      <c r="G26" s="14"/>
      <c r="H26" s="14"/>
      <c r="I26" s="14"/>
      <c r="J26" s="14"/>
      <c r="K26" s="14"/>
      <c r="L26" s="14"/>
      <c r="M26" s="14"/>
      <c r="N26" s="14"/>
      <c r="O26" s="14"/>
      <c r="P26" s="14"/>
      <c r="Q26" s="14"/>
      <c r="R26" s="14"/>
      <c r="S26" s="14"/>
      <c r="T26" s="14"/>
      <c r="U26" s="14"/>
      <c r="V26" s="14"/>
      <c r="W26" s="14"/>
      <c r="X26" s="14"/>
      <c r="Y26" s="14"/>
    </row>
    <row r="27" spans="1:25" ht="23.25" customHeight="1" x14ac:dyDescent="0.2">
      <c r="P27" s="14"/>
      <c r="Q27" s="14"/>
      <c r="R27" s="14"/>
      <c r="S27" s="14"/>
      <c r="T27" s="14"/>
      <c r="U27" s="14"/>
      <c r="V27" s="14"/>
      <c r="W27" s="14"/>
      <c r="X27" s="14"/>
      <c r="Y27" s="14"/>
    </row>
    <row r="28" spans="1:25" ht="21" customHeight="1" thickBot="1" x14ac:dyDescent="0.25">
      <c r="A28" s="63"/>
      <c r="B28" s="63"/>
      <c r="C28" s="14"/>
      <c r="D28" s="14"/>
      <c r="E28" s="14"/>
      <c r="F28" s="14"/>
      <c r="G28" s="14"/>
      <c r="H28" s="14"/>
      <c r="I28" s="14"/>
      <c r="J28" s="14"/>
      <c r="K28" s="14"/>
      <c r="L28" s="14"/>
      <c r="M28" s="14"/>
      <c r="N28" s="14"/>
      <c r="O28" s="14"/>
      <c r="P28" s="14"/>
      <c r="Q28" s="14"/>
      <c r="R28" s="14"/>
      <c r="S28" s="14"/>
      <c r="T28" s="14"/>
      <c r="U28" s="14"/>
      <c r="V28" s="14"/>
      <c r="W28" s="14"/>
      <c r="X28" s="14"/>
      <c r="Y28" s="14"/>
    </row>
    <row r="29" spans="1:25" ht="21" x14ac:dyDescent="0.2">
      <c r="A29" s="316" t="s">
        <v>41</v>
      </c>
      <c r="B29" s="316"/>
      <c r="C29" s="305" t="s">
        <v>84</v>
      </c>
      <c r="D29" s="306"/>
      <c r="E29" s="306"/>
      <c r="F29" s="306"/>
      <c r="G29" s="306"/>
      <c r="H29" s="306"/>
      <c r="I29" s="306"/>
      <c r="J29" s="306"/>
      <c r="K29" s="306"/>
      <c r="L29" s="306"/>
      <c r="M29" s="306"/>
      <c r="N29" s="306"/>
      <c r="O29" s="307"/>
      <c r="P29" s="14"/>
      <c r="Q29" s="14"/>
      <c r="R29" s="14"/>
      <c r="S29" s="14"/>
      <c r="T29" s="14"/>
      <c r="U29" s="14"/>
      <c r="V29" s="14"/>
      <c r="W29" s="14"/>
      <c r="X29" s="14"/>
      <c r="Y29" s="14"/>
    </row>
    <row r="30" spans="1:25" ht="21.75" thickBot="1" x14ac:dyDescent="0.25">
      <c r="A30" s="14"/>
      <c r="B30" s="14"/>
      <c r="C30" s="311"/>
      <c r="D30" s="312"/>
      <c r="E30" s="312"/>
      <c r="F30" s="312"/>
      <c r="G30" s="312"/>
      <c r="H30" s="312"/>
      <c r="I30" s="312"/>
      <c r="J30" s="312"/>
      <c r="K30" s="312"/>
      <c r="L30" s="312"/>
      <c r="M30" s="312"/>
      <c r="N30" s="312"/>
      <c r="O30" s="310"/>
      <c r="P30" s="14"/>
      <c r="Q30" s="14"/>
      <c r="R30" s="14"/>
      <c r="S30" s="14"/>
      <c r="T30" s="14"/>
      <c r="U30" s="14"/>
      <c r="V30" s="14"/>
      <c r="W30" s="14"/>
      <c r="X30" s="14"/>
      <c r="Y30" s="14"/>
    </row>
    <row r="31" spans="1:25" ht="21.75" thickBo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spans="1:25" ht="21" x14ac:dyDescent="0.2">
      <c r="A32" s="304" t="s">
        <v>88</v>
      </c>
      <c r="B32" s="304"/>
      <c r="C32" s="305" t="s">
        <v>132</v>
      </c>
      <c r="D32" s="306"/>
      <c r="E32" s="306"/>
      <c r="F32" s="306"/>
      <c r="G32" s="306"/>
      <c r="H32" s="306"/>
      <c r="I32" s="306"/>
      <c r="J32" s="306"/>
      <c r="K32" s="306"/>
      <c r="L32" s="306"/>
      <c r="M32" s="306"/>
      <c r="N32" s="306"/>
      <c r="O32" s="307"/>
      <c r="P32" s="14"/>
      <c r="Q32" s="14"/>
      <c r="R32" s="14"/>
      <c r="S32" s="14"/>
      <c r="T32" s="14"/>
      <c r="U32" s="14"/>
      <c r="V32" s="14"/>
      <c r="W32" s="14"/>
      <c r="X32" s="14"/>
      <c r="Y32" s="14"/>
    </row>
    <row r="33" spans="1:25" ht="50.25" customHeight="1" thickBot="1" x14ac:dyDescent="0.25">
      <c r="A33" s="21"/>
      <c r="B33" s="21"/>
      <c r="C33" s="308"/>
      <c r="D33" s="309"/>
      <c r="E33" s="309"/>
      <c r="F33" s="309"/>
      <c r="G33" s="309"/>
      <c r="H33" s="309"/>
      <c r="I33" s="309"/>
      <c r="J33" s="309"/>
      <c r="K33" s="309"/>
      <c r="L33" s="309"/>
      <c r="M33" s="309"/>
      <c r="N33" s="309"/>
      <c r="O33" s="310"/>
      <c r="P33" s="14"/>
      <c r="Q33" s="14"/>
      <c r="R33" s="14"/>
      <c r="S33" s="14"/>
      <c r="T33" s="14"/>
      <c r="U33" s="14"/>
      <c r="V33" s="14"/>
      <c r="W33" s="14"/>
      <c r="X33" s="14"/>
      <c r="Y33" s="14"/>
    </row>
    <row r="34" spans="1:25" ht="21.75" thickBot="1" x14ac:dyDescent="0.25">
      <c r="A34" s="14"/>
      <c r="B34" s="14"/>
      <c r="C34" s="301" t="s">
        <v>128</v>
      </c>
      <c r="D34" s="301"/>
      <c r="E34" s="301"/>
      <c r="F34" s="302" t="s">
        <v>130</v>
      </c>
      <c r="G34" s="302"/>
      <c r="H34" s="302"/>
      <c r="I34" s="303" t="s">
        <v>131</v>
      </c>
      <c r="J34" s="303"/>
      <c r="K34" s="303"/>
      <c r="L34" s="300" t="s">
        <v>129</v>
      </c>
      <c r="M34" s="300"/>
      <c r="N34" s="300"/>
      <c r="O34" s="300"/>
      <c r="P34" s="14"/>
      <c r="Q34" s="14"/>
      <c r="R34" s="14"/>
      <c r="S34" s="14"/>
      <c r="T34" s="14"/>
      <c r="U34" s="14"/>
      <c r="V34" s="14"/>
      <c r="W34" s="14"/>
      <c r="X34" s="14"/>
      <c r="Y34" s="14"/>
    </row>
    <row r="35" spans="1:25" ht="21" x14ac:dyDescent="0.2">
      <c r="A35" s="14"/>
      <c r="B35" s="14"/>
      <c r="C35" s="14"/>
      <c r="D35" s="14"/>
      <c r="E35" s="14"/>
      <c r="F35" s="21"/>
      <c r="G35" s="21"/>
      <c r="H35" s="21"/>
      <c r="I35" s="14"/>
      <c r="J35" s="14"/>
      <c r="K35" s="14"/>
      <c r="L35" s="14"/>
      <c r="M35" s="14"/>
      <c r="N35" s="14"/>
      <c r="O35" s="14"/>
      <c r="P35" s="14"/>
      <c r="Q35" s="14"/>
      <c r="R35" s="14"/>
      <c r="S35" s="14"/>
      <c r="T35" s="14"/>
      <c r="U35" s="14"/>
      <c r="V35" s="14"/>
      <c r="W35" s="14"/>
      <c r="X35" s="14"/>
      <c r="Y35" s="14"/>
    </row>
    <row r="36" spans="1:25" ht="21" x14ac:dyDescent="0.2">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spans="1:25" ht="21" x14ac:dyDescent="0.2">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spans="1:25" ht="21" x14ac:dyDescent="0.2">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spans="1:25" ht="21" x14ac:dyDescent="0.2">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spans="1:25" ht="21" x14ac:dyDescent="0.2">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spans="1:25" ht="21" x14ac:dyDescent="0.2">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spans="1:25" ht="21" x14ac:dyDescent="0.2">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spans="1:25" ht="21" x14ac:dyDescent="0.2">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spans="1:25" ht="21" x14ac:dyDescent="0.2">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spans="1:25" ht="21"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spans="1:25" ht="21" x14ac:dyDescent="0.2">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spans="1:25" ht="21" x14ac:dyDescent="0.2">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spans="1:25" ht="21" x14ac:dyDescent="0.2">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spans="1:25" ht="21" x14ac:dyDescent="0.2">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spans="1:25" ht="21" x14ac:dyDescent="0.2">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spans="1:25" ht="21" x14ac:dyDescent="0.2">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spans="1:25" ht="21" x14ac:dyDescent="0.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sheetData>
  <mergeCells count="14">
    <mergeCell ref="C24:O25"/>
    <mergeCell ref="A3:T3"/>
    <mergeCell ref="A29:B29"/>
    <mergeCell ref="C29:O30"/>
    <mergeCell ref="C22:O22"/>
    <mergeCell ref="C19:O20"/>
    <mergeCell ref="A5:B5"/>
    <mergeCell ref="C5:O6"/>
    <mergeCell ref="L34:O34"/>
    <mergeCell ref="C34:E34"/>
    <mergeCell ref="F34:H34"/>
    <mergeCell ref="I34:K34"/>
    <mergeCell ref="A32:B32"/>
    <mergeCell ref="C32:O33"/>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2:AG50"/>
  <sheetViews>
    <sheetView topLeftCell="A22" zoomScale="90" zoomScaleNormal="90" workbookViewId="0">
      <selection activeCell="I4" sqref="I4"/>
    </sheetView>
  </sheetViews>
  <sheetFormatPr defaultColWidth="9.33203125" defaultRowHeight="12.75" x14ac:dyDescent="0.2"/>
  <cols>
    <col min="1" max="1" width="39.6640625" style="1" customWidth="1"/>
    <col min="2" max="2" width="14.83203125" style="1" customWidth="1"/>
    <col min="3" max="3" width="16.83203125" style="1" customWidth="1"/>
    <col min="4" max="4" width="9.1640625" style="1" customWidth="1"/>
    <col min="5" max="5" width="14.33203125" style="1" customWidth="1"/>
    <col min="6" max="6" width="9.33203125" style="1" customWidth="1"/>
    <col min="7" max="7" width="15" style="1" customWidth="1"/>
    <col min="8" max="8" width="14.33203125" style="1" customWidth="1"/>
    <col min="9" max="9" width="13.83203125" style="1" customWidth="1"/>
    <col min="10" max="10" width="15.6640625" style="1" customWidth="1"/>
    <col min="11" max="12" width="14.33203125" style="1" customWidth="1"/>
    <col min="13" max="13" width="13.83203125" style="1" customWidth="1"/>
    <col min="14" max="14" width="16.33203125" style="1" customWidth="1"/>
    <col min="15" max="16" width="14.33203125" style="1" customWidth="1"/>
    <col min="17" max="17" width="13.83203125" style="1" customWidth="1"/>
    <col min="18" max="18" width="16.33203125" style="1" customWidth="1"/>
    <col min="19" max="20" width="14.33203125" style="1" customWidth="1"/>
    <col min="21" max="21" width="13.83203125" style="1" customWidth="1"/>
    <col min="22" max="22" width="16.33203125" style="1" customWidth="1"/>
    <col min="23" max="24" width="14.33203125" style="1" customWidth="1"/>
    <col min="25" max="25" width="13.83203125" style="1" customWidth="1"/>
    <col min="26" max="26" width="16.33203125" style="1" customWidth="1"/>
    <col min="27" max="27" width="17.6640625" style="1" bestFit="1" customWidth="1"/>
    <col min="28" max="16384" width="9.33203125" style="1"/>
  </cols>
  <sheetData>
    <row r="2" spans="1:33" ht="36.75" customHeight="1" x14ac:dyDescent="0.2">
      <c r="A2" s="333" t="s">
        <v>156</v>
      </c>
      <c r="B2" s="334"/>
      <c r="C2" s="334"/>
      <c r="D2" s="334"/>
      <c r="E2" s="334"/>
      <c r="F2" s="334"/>
      <c r="G2" s="334"/>
      <c r="H2" s="334"/>
      <c r="I2" s="334"/>
      <c r="J2" s="334"/>
      <c r="K2" s="119"/>
      <c r="L2" s="22"/>
      <c r="M2" s="22"/>
      <c r="N2" s="22"/>
      <c r="O2" s="119"/>
      <c r="P2" s="22"/>
      <c r="Q2" s="22"/>
      <c r="R2" s="22"/>
      <c r="S2" s="119"/>
      <c r="T2" s="22"/>
      <c r="U2" s="22"/>
      <c r="V2" s="22"/>
      <c r="W2" s="119"/>
      <c r="X2" s="22"/>
      <c r="Y2" s="22"/>
      <c r="Z2" s="22"/>
      <c r="AA2" s="31"/>
      <c r="AB2" s="4"/>
      <c r="AC2" s="4"/>
      <c r="AD2" s="4"/>
      <c r="AE2" s="4"/>
      <c r="AF2" s="4"/>
      <c r="AG2" s="4"/>
    </row>
    <row r="3" spans="1:33" ht="32.25" customHeight="1" x14ac:dyDescent="0.2">
      <c r="A3" s="30" t="s">
        <v>12</v>
      </c>
      <c r="B3" s="346"/>
      <c r="C3" s="346"/>
      <c r="D3" s="346"/>
      <c r="E3" s="346"/>
      <c r="F3" s="346"/>
      <c r="G3" s="346"/>
      <c r="H3" s="352"/>
      <c r="I3" s="353"/>
      <c r="J3" s="296"/>
      <c r="K3" s="297" t="s">
        <v>147</v>
      </c>
      <c r="L3" s="354"/>
      <c r="M3" s="355"/>
      <c r="N3" s="356"/>
      <c r="O3" s="356"/>
      <c r="P3" s="356"/>
      <c r="Q3" s="356"/>
      <c r="R3" s="356"/>
      <c r="S3" s="122"/>
      <c r="AA3" s="28"/>
    </row>
    <row r="4" spans="1:33" ht="32.25" customHeight="1" x14ac:dyDescent="0.2">
      <c r="A4" s="13" t="s">
        <v>34</v>
      </c>
      <c r="B4" s="349"/>
      <c r="C4" s="350"/>
      <c r="D4" s="339" t="s">
        <v>135</v>
      </c>
      <c r="E4" s="351"/>
      <c r="F4" s="367" t="s">
        <v>29</v>
      </c>
      <c r="G4" s="368"/>
      <c r="H4" s="120"/>
      <c r="I4" s="25"/>
      <c r="J4" s="25"/>
      <c r="K4" s="298" t="s">
        <v>148</v>
      </c>
      <c r="L4" s="372"/>
      <c r="M4" s="373"/>
      <c r="N4" s="25"/>
      <c r="O4" s="25"/>
      <c r="P4" s="25"/>
      <c r="Q4" s="25"/>
      <c r="R4" s="25"/>
      <c r="S4" s="25"/>
      <c r="T4" s="27"/>
      <c r="U4" s="27"/>
      <c r="V4" s="27"/>
      <c r="W4" s="27"/>
      <c r="X4" s="27"/>
      <c r="Y4" s="27"/>
      <c r="Z4" s="27"/>
      <c r="AA4" s="29"/>
    </row>
    <row r="5" spans="1:33" ht="32.25" customHeight="1" x14ac:dyDescent="0.2">
      <c r="A5" s="6" t="s">
        <v>35</v>
      </c>
      <c r="B5" s="7" t="s">
        <v>4</v>
      </c>
      <c r="C5" s="12"/>
      <c r="D5" s="339" t="s">
        <v>5</v>
      </c>
      <c r="E5" s="340"/>
      <c r="F5" s="347"/>
      <c r="G5" s="348"/>
      <c r="H5" s="185" t="s">
        <v>125</v>
      </c>
      <c r="I5" s="85"/>
      <c r="J5" s="85"/>
      <c r="K5" s="85"/>
      <c r="L5" s="85"/>
      <c r="M5" s="85"/>
      <c r="N5" s="85"/>
      <c r="O5" s="85"/>
      <c r="P5" s="86"/>
      <c r="Q5" s="85"/>
      <c r="R5" s="85"/>
      <c r="S5" s="85"/>
      <c r="T5" s="5"/>
      <c r="U5" s="5"/>
      <c r="V5" s="5"/>
      <c r="W5" s="5"/>
      <c r="X5" s="5"/>
      <c r="Y5" s="5"/>
      <c r="Z5" s="5"/>
      <c r="AA5" s="26"/>
    </row>
    <row r="6" spans="1:33" ht="7.5" customHeight="1" x14ac:dyDescent="0.2">
      <c r="A6" s="9"/>
      <c r="B6" s="82"/>
      <c r="C6" s="83"/>
      <c r="D6" s="337"/>
      <c r="E6" s="338"/>
      <c r="F6" s="174"/>
      <c r="G6" s="84"/>
      <c r="H6" s="24"/>
      <c r="I6" s="5"/>
      <c r="J6" s="5"/>
      <c r="K6" s="5"/>
      <c r="L6" s="5"/>
      <c r="M6" s="5"/>
      <c r="N6" s="5"/>
      <c r="O6" s="5"/>
      <c r="P6" s="5"/>
      <c r="Q6" s="5"/>
      <c r="R6" s="5"/>
      <c r="S6" s="5"/>
      <c r="T6" s="5"/>
      <c r="U6" s="5"/>
      <c r="V6" s="5"/>
      <c r="W6" s="5"/>
      <c r="X6" s="5"/>
      <c r="Y6" s="5"/>
      <c r="Z6" s="5"/>
      <c r="AA6" s="26"/>
    </row>
    <row r="7" spans="1:33" ht="27" customHeight="1" x14ac:dyDescent="0.2">
      <c r="A7" s="10"/>
      <c r="B7" s="11"/>
      <c r="C7" s="11"/>
      <c r="D7" s="11"/>
      <c r="E7" s="11"/>
      <c r="F7" s="175"/>
      <c r="G7" s="8"/>
      <c r="H7" s="341" t="s">
        <v>17</v>
      </c>
      <c r="I7" s="342"/>
      <c r="J7" s="343"/>
      <c r="K7" s="121"/>
      <c r="L7" s="357" t="s">
        <v>23</v>
      </c>
      <c r="M7" s="357"/>
      <c r="N7" s="358"/>
      <c r="O7" s="121"/>
      <c r="P7" s="342" t="s">
        <v>24</v>
      </c>
      <c r="Q7" s="342"/>
      <c r="R7" s="343"/>
      <c r="S7" s="121"/>
      <c r="T7" s="342" t="s">
        <v>25</v>
      </c>
      <c r="U7" s="342"/>
      <c r="V7" s="343"/>
      <c r="W7" s="121"/>
      <c r="X7" s="342" t="s">
        <v>26</v>
      </c>
      <c r="Y7" s="342"/>
      <c r="Z7" s="343"/>
      <c r="AA7" s="223"/>
    </row>
    <row r="8" spans="1:33" s="2" customFormat="1" ht="32.25" customHeight="1" x14ac:dyDescent="0.2">
      <c r="A8" s="176" t="s">
        <v>120</v>
      </c>
      <c r="B8" s="362" t="s">
        <v>0</v>
      </c>
      <c r="C8" s="363"/>
      <c r="D8" s="177" t="s">
        <v>27</v>
      </c>
      <c r="E8" s="177" t="s">
        <v>6</v>
      </c>
      <c r="F8" s="178" t="s">
        <v>114</v>
      </c>
      <c r="G8" s="179" t="s">
        <v>1</v>
      </c>
      <c r="H8" s="180" t="s">
        <v>116</v>
      </c>
      <c r="I8" s="181" t="s">
        <v>9</v>
      </c>
      <c r="J8" s="23" t="s">
        <v>18</v>
      </c>
      <c r="K8" s="182" t="s">
        <v>1</v>
      </c>
      <c r="L8" s="180" t="s">
        <v>116</v>
      </c>
      <c r="M8" s="181" t="s">
        <v>9</v>
      </c>
      <c r="N8" s="23" t="s">
        <v>19</v>
      </c>
      <c r="O8" s="182" t="s">
        <v>1</v>
      </c>
      <c r="P8" s="180" t="s">
        <v>116</v>
      </c>
      <c r="Q8" s="181" t="s">
        <v>9</v>
      </c>
      <c r="R8" s="23" t="s">
        <v>20</v>
      </c>
      <c r="S8" s="182" t="s">
        <v>1</v>
      </c>
      <c r="T8" s="180" t="s">
        <v>116</v>
      </c>
      <c r="U8" s="181" t="s">
        <v>9</v>
      </c>
      <c r="V8" s="23" t="s">
        <v>21</v>
      </c>
      <c r="W8" s="182" t="s">
        <v>1</v>
      </c>
      <c r="X8" s="180" t="s">
        <v>116</v>
      </c>
      <c r="Y8" s="181" t="s">
        <v>9</v>
      </c>
      <c r="Z8" s="23" t="s">
        <v>22</v>
      </c>
      <c r="AA8" s="224" t="s">
        <v>2</v>
      </c>
    </row>
    <row r="9" spans="1:33" ht="32.25" customHeight="1" x14ac:dyDescent="0.2">
      <c r="A9" s="225">
        <v>0</v>
      </c>
      <c r="B9" s="344" t="s">
        <v>157</v>
      </c>
      <c r="C9" s="345"/>
      <c r="D9" s="226">
        <f>SALARY!D10</f>
        <v>0</v>
      </c>
      <c r="E9" s="299">
        <f>SALARY!E10</f>
        <v>0</v>
      </c>
      <c r="F9" s="228">
        <f>E9*12</f>
        <v>0</v>
      </c>
      <c r="G9" s="229">
        <f>SALARY!H10</f>
        <v>0</v>
      </c>
      <c r="H9" s="230">
        <f>SALARY!I10</f>
        <v>0</v>
      </c>
      <c r="I9" s="231">
        <f>H9*D9</f>
        <v>0</v>
      </c>
      <c r="J9" s="232">
        <f>SUM(H9:I9)</f>
        <v>0</v>
      </c>
      <c r="K9" s="233">
        <f>SALARY!L10</f>
        <v>0</v>
      </c>
      <c r="L9" s="234">
        <f>SALARY!M10</f>
        <v>0</v>
      </c>
      <c r="M9" s="235">
        <f t="shared" ref="M9:M23" si="0">L9*D9</f>
        <v>0</v>
      </c>
      <c r="N9" s="232">
        <f>SUM(L9:M9)</f>
        <v>0</v>
      </c>
      <c r="O9" s="236">
        <f>SALARY!P10</f>
        <v>0</v>
      </c>
      <c r="P9" s="234">
        <f>SALARY!Q10</f>
        <v>0</v>
      </c>
      <c r="Q9" s="237">
        <f>P9*D9</f>
        <v>0</v>
      </c>
      <c r="R9" s="238">
        <f>SUM(P9:Q9)</f>
        <v>0</v>
      </c>
      <c r="S9" s="233">
        <f>SALARY!T10</f>
        <v>0</v>
      </c>
      <c r="T9" s="234">
        <f>SALARY!U10</f>
        <v>0</v>
      </c>
      <c r="U9" s="235">
        <f>T9*D9</f>
        <v>0</v>
      </c>
      <c r="V9" s="232">
        <f>SUM(T9:U9)</f>
        <v>0</v>
      </c>
      <c r="W9" s="233">
        <f>SALARY!X10</f>
        <v>0</v>
      </c>
      <c r="X9" s="234">
        <f>SALARY!Y10</f>
        <v>0</v>
      </c>
      <c r="Y9" s="235">
        <f>X9*D9</f>
        <v>0</v>
      </c>
      <c r="Z9" s="232">
        <f>SUM(X9:Y9)</f>
        <v>0</v>
      </c>
      <c r="AA9" s="239">
        <f>J9+N9+R9+V9+Z9</f>
        <v>0</v>
      </c>
      <c r="AB9" s="240"/>
    </row>
    <row r="10" spans="1:33" ht="32.25" customHeight="1" x14ac:dyDescent="0.2">
      <c r="A10" s="225">
        <f>SALARY!A11</f>
        <v>0</v>
      </c>
      <c r="B10" s="344">
        <f>SALARY!B11</f>
        <v>0</v>
      </c>
      <c r="C10" s="345"/>
      <c r="D10" s="226">
        <f>SALARY!D11</f>
        <v>0</v>
      </c>
      <c r="E10" s="299">
        <v>0</v>
      </c>
      <c r="F10" s="228">
        <f t="shared" ref="F10:F23" si="1">E10*12</f>
        <v>0</v>
      </c>
      <c r="G10" s="229">
        <v>0</v>
      </c>
      <c r="H10" s="230">
        <f>SALARY!I11</f>
        <v>0</v>
      </c>
      <c r="I10" s="231">
        <f t="shared" ref="I10:I23" si="2">H10*D10</f>
        <v>0</v>
      </c>
      <c r="J10" s="232">
        <f>SUM(H10:I10)</f>
        <v>0</v>
      </c>
      <c r="K10" s="233">
        <f>SALARY!L11</f>
        <v>0</v>
      </c>
      <c r="L10" s="234">
        <f>SALARY!M11</f>
        <v>0</v>
      </c>
      <c r="M10" s="235">
        <f t="shared" si="0"/>
        <v>0</v>
      </c>
      <c r="N10" s="232">
        <f t="shared" ref="N10:N23" si="3">SUM(L10:M10)</f>
        <v>0</v>
      </c>
      <c r="O10" s="233">
        <f>SALARY!P11</f>
        <v>0</v>
      </c>
      <c r="P10" s="234">
        <f>SALARY!Q11</f>
        <v>0</v>
      </c>
      <c r="Q10" s="235">
        <f t="shared" ref="Q10:Q23" si="4">P10*D10</f>
        <v>0</v>
      </c>
      <c r="R10" s="232">
        <f t="shared" ref="R10:R23" si="5">SUM(P10:Q10)</f>
        <v>0</v>
      </c>
      <c r="S10" s="236">
        <f>SALARY!T11</f>
        <v>0</v>
      </c>
      <c r="T10" s="241">
        <f>SALARY!U11</f>
        <v>0</v>
      </c>
      <c r="U10" s="237">
        <f t="shared" ref="U10:U23" si="6">T10*D10</f>
        <v>0</v>
      </c>
      <c r="V10" s="232">
        <f t="shared" ref="V10:V23" si="7">SUM(T10:U10)</f>
        <v>0</v>
      </c>
      <c r="W10" s="233">
        <f>SALARY!X11</f>
        <v>0</v>
      </c>
      <c r="X10" s="234">
        <f>SALARY!Y11</f>
        <v>0</v>
      </c>
      <c r="Y10" s="235">
        <f t="shared" ref="Y10:Y23" si="8">X10*D10</f>
        <v>0</v>
      </c>
      <c r="Z10" s="232">
        <f t="shared" ref="Z10:Z23" si="9">SUM(X10:Y10)</f>
        <v>0</v>
      </c>
      <c r="AA10" s="239">
        <f t="shared" ref="AA10:AA23" si="10">J10+N10+R10+V10+Z10</f>
        <v>0</v>
      </c>
      <c r="AB10" s="240"/>
    </row>
    <row r="11" spans="1:33" ht="32.25" customHeight="1" x14ac:dyDescent="0.2">
      <c r="A11" s="225">
        <f>SALARY!A12</f>
        <v>0</v>
      </c>
      <c r="B11" s="344">
        <f>SALARY!B12</f>
        <v>0</v>
      </c>
      <c r="C11" s="345"/>
      <c r="D11" s="226">
        <f>SALARY!D12</f>
        <v>0</v>
      </c>
      <c r="E11" s="299">
        <f>SALARY!E12</f>
        <v>0</v>
      </c>
      <c r="F11" s="228">
        <f>ROUND(E11*12*0.92,2)</f>
        <v>0</v>
      </c>
      <c r="G11" s="229">
        <f>SALARY!H12</f>
        <v>0</v>
      </c>
      <c r="H11" s="230">
        <f>SALARY!I12</f>
        <v>0</v>
      </c>
      <c r="I11" s="231">
        <f t="shared" si="2"/>
        <v>0</v>
      </c>
      <c r="J11" s="232">
        <f>SUM(H11:I11)</f>
        <v>0</v>
      </c>
      <c r="K11" s="233">
        <f>SALARY!L12</f>
        <v>0</v>
      </c>
      <c r="L11" s="234">
        <f>SALARY!M12</f>
        <v>0</v>
      </c>
      <c r="M11" s="235">
        <f t="shared" si="0"/>
        <v>0</v>
      </c>
      <c r="N11" s="232">
        <f t="shared" si="3"/>
        <v>0</v>
      </c>
      <c r="O11" s="233">
        <f>SALARY!P12</f>
        <v>0</v>
      </c>
      <c r="P11" s="234">
        <f>SALARY!Q12</f>
        <v>0</v>
      </c>
      <c r="Q11" s="235">
        <f t="shared" si="4"/>
        <v>0</v>
      </c>
      <c r="R11" s="232">
        <f t="shared" si="5"/>
        <v>0</v>
      </c>
      <c r="S11" s="236">
        <f>SALARY!T12</f>
        <v>0</v>
      </c>
      <c r="T11" s="241">
        <f>SALARY!U12</f>
        <v>0</v>
      </c>
      <c r="U11" s="237">
        <f t="shared" si="6"/>
        <v>0</v>
      </c>
      <c r="V11" s="232">
        <f t="shared" si="7"/>
        <v>0</v>
      </c>
      <c r="W11" s="233">
        <f>SALARY!X12</f>
        <v>0</v>
      </c>
      <c r="X11" s="234">
        <f>SALARY!Y12</f>
        <v>0</v>
      </c>
      <c r="Y11" s="235">
        <f t="shared" si="8"/>
        <v>0</v>
      </c>
      <c r="Z11" s="232">
        <f t="shared" si="9"/>
        <v>0</v>
      </c>
      <c r="AA11" s="239">
        <f t="shared" si="10"/>
        <v>0</v>
      </c>
      <c r="AB11" s="240"/>
    </row>
    <row r="12" spans="1:33" ht="32.25" customHeight="1" x14ac:dyDescent="0.2">
      <c r="A12" s="225">
        <f>SALARY!A13</f>
        <v>0</v>
      </c>
      <c r="B12" s="344">
        <f>SALARY!B13</f>
        <v>0</v>
      </c>
      <c r="C12" s="345"/>
      <c r="D12" s="226">
        <f>SALARY!D13</f>
        <v>0</v>
      </c>
      <c r="E12" s="299">
        <f>SALARY!E13</f>
        <v>0</v>
      </c>
      <c r="F12" s="228">
        <f t="shared" si="1"/>
        <v>0</v>
      </c>
      <c r="G12" s="229">
        <f>SALARY!H13</f>
        <v>0</v>
      </c>
      <c r="H12" s="230">
        <f>SALARY!I13</f>
        <v>0</v>
      </c>
      <c r="I12" s="231">
        <f t="shared" si="2"/>
        <v>0</v>
      </c>
      <c r="J12" s="232">
        <f t="shared" ref="J12:J23" si="11">SUM(H12:I12)</f>
        <v>0</v>
      </c>
      <c r="K12" s="233">
        <f>SALARY!L13</f>
        <v>0</v>
      </c>
      <c r="L12" s="234">
        <f>SALARY!M13</f>
        <v>0</v>
      </c>
      <c r="M12" s="235">
        <f t="shared" si="0"/>
        <v>0</v>
      </c>
      <c r="N12" s="232">
        <f t="shared" si="3"/>
        <v>0</v>
      </c>
      <c r="O12" s="233">
        <f>SALARY!P13</f>
        <v>0</v>
      </c>
      <c r="P12" s="234">
        <f>SALARY!Q13</f>
        <v>0</v>
      </c>
      <c r="Q12" s="235">
        <f t="shared" si="4"/>
        <v>0</v>
      </c>
      <c r="R12" s="232">
        <f t="shared" si="5"/>
        <v>0</v>
      </c>
      <c r="S12" s="233">
        <f>SALARY!T13</f>
        <v>0</v>
      </c>
      <c r="T12" s="234">
        <f>SALARY!U13</f>
        <v>0</v>
      </c>
      <c r="U12" s="235">
        <f t="shared" si="6"/>
        <v>0</v>
      </c>
      <c r="V12" s="232">
        <f t="shared" si="7"/>
        <v>0</v>
      </c>
      <c r="W12" s="233">
        <f>SALARY!X13</f>
        <v>0</v>
      </c>
      <c r="X12" s="234">
        <f>SALARY!Y13</f>
        <v>0</v>
      </c>
      <c r="Y12" s="235">
        <f t="shared" si="8"/>
        <v>0</v>
      </c>
      <c r="Z12" s="232">
        <f t="shared" si="9"/>
        <v>0</v>
      </c>
      <c r="AA12" s="239">
        <f t="shared" si="10"/>
        <v>0</v>
      </c>
      <c r="AB12" s="240"/>
    </row>
    <row r="13" spans="1:33" ht="32.25" customHeight="1" x14ac:dyDescent="0.2">
      <c r="A13" s="225">
        <f>SALARY!A14</f>
        <v>0</v>
      </c>
      <c r="B13" s="344">
        <f>SALARY!B14</f>
        <v>0</v>
      </c>
      <c r="C13" s="345"/>
      <c r="D13" s="226">
        <f>SALARY!D14</f>
        <v>0</v>
      </c>
      <c r="E13" s="299">
        <f>SALARY!E14</f>
        <v>0</v>
      </c>
      <c r="F13" s="228">
        <f t="shared" si="1"/>
        <v>0</v>
      </c>
      <c r="G13" s="229">
        <f>SALARY!H14</f>
        <v>0</v>
      </c>
      <c r="H13" s="230">
        <f>SALARY!I14</f>
        <v>0</v>
      </c>
      <c r="I13" s="231">
        <f t="shared" si="2"/>
        <v>0</v>
      </c>
      <c r="J13" s="232">
        <f t="shared" si="11"/>
        <v>0</v>
      </c>
      <c r="K13" s="233">
        <f>SALARY!L14</f>
        <v>0</v>
      </c>
      <c r="L13" s="234">
        <f>SALARY!M14</f>
        <v>0</v>
      </c>
      <c r="M13" s="235">
        <f t="shared" si="0"/>
        <v>0</v>
      </c>
      <c r="N13" s="232">
        <f t="shared" si="3"/>
        <v>0</v>
      </c>
      <c r="O13" s="233">
        <f>SALARY!P14</f>
        <v>0</v>
      </c>
      <c r="P13" s="234">
        <f>SALARY!Q14</f>
        <v>0</v>
      </c>
      <c r="Q13" s="235">
        <f t="shared" si="4"/>
        <v>0</v>
      </c>
      <c r="R13" s="232">
        <f t="shared" si="5"/>
        <v>0</v>
      </c>
      <c r="S13" s="233">
        <f>SALARY!T14</f>
        <v>0</v>
      </c>
      <c r="T13" s="234">
        <f>SALARY!U14</f>
        <v>0</v>
      </c>
      <c r="U13" s="235">
        <f t="shared" si="6"/>
        <v>0</v>
      </c>
      <c r="V13" s="232">
        <f t="shared" si="7"/>
        <v>0</v>
      </c>
      <c r="W13" s="233">
        <f>SALARY!X14</f>
        <v>0</v>
      </c>
      <c r="X13" s="234">
        <f>SALARY!Y14</f>
        <v>0</v>
      </c>
      <c r="Y13" s="235">
        <f t="shared" si="8"/>
        <v>0</v>
      </c>
      <c r="Z13" s="232">
        <f t="shared" si="9"/>
        <v>0</v>
      </c>
      <c r="AA13" s="239">
        <f t="shared" si="10"/>
        <v>0</v>
      </c>
      <c r="AB13" s="240"/>
    </row>
    <row r="14" spans="1:33" ht="32.25" customHeight="1" x14ac:dyDescent="0.2">
      <c r="A14" s="225">
        <f>SALARY!A15</f>
        <v>0</v>
      </c>
      <c r="B14" s="344">
        <f>SALARY!B15</f>
        <v>0</v>
      </c>
      <c r="C14" s="345"/>
      <c r="D14" s="226">
        <f>SALARY!D15</f>
        <v>0</v>
      </c>
      <c r="E14" s="299">
        <f>SALARY!E15</f>
        <v>0</v>
      </c>
      <c r="F14" s="228">
        <f t="shared" si="1"/>
        <v>0</v>
      </c>
      <c r="G14" s="229">
        <f>SALARY!H15</f>
        <v>0</v>
      </c>
      <c r="H14" s="230">
        <f>SALARY!I15</f>
        <v>0</v>
      </c>
      <c r="I14" s="231">
        <f t="shared" si="2"/>
        <v>0</v>
      </c>
      <c r="J14" s="232">
        <f t="shared" si="11"/>
        <v>0</v>
      </c>
      <c r="K14" s="233">
        <f>SALARY!L15</f>
        <v>0</v>
      </c>
      <c r="L14" s="234">
        <f>SALARY!M15</f>
        <v>0</v>
      </c>
      <c r="M14" s="235">
        <f t="shared" si="0"/>
        <v>0</v>
      </c>
      <c r="N14" s="232">
        <f t="shared" si="3"/>
        <v>0</v>
      </c>
      <c r="O14" s="233">
        <f>SALARY!P15</f>
        <v>0</v>
      </c>
      <c r="P14" s="234">
        <f>SALARY!Q15</f>
        <v>0</v>
      </c>
      <c r="Q14" s="235">
        <f t="shared" si="4"/>
        <v>0</v>
      </c>
      <c r="R14" s="232">
        <f t="shared" si="5"/>
        <v>0</v>
      </c>
      <c r="S14" s="233">
        <f>SALARY!T15</f>
        <v>0</v>
      </c>
      <c r="T14" s="234">
        <f>SALARY!U15</f>
        <v>0</v>
      </c>
      <c r="U14" s="235">
        <f t="shared" si="6"/>
        <v>0</v>
      </c>
      <c r="V14" s="232">
        <f t="shared" si="7"/>
        <v>0</v>
      </c>
      <c r="W14" s="233">
        <f>SALARY!X15</f>
        <v>0</v>
      </c>
      <c r="X14" s="234">
        <f>SALARY!Y15</f>
        <v>0</v>
      </c>
      <c r="Y14" s="235">
        <f t="shared" si="8"/>
        <v>0</v>
      </c>
      <c r="Z14" s="232">
        <f t="shared" si="9"/>
        <v>0</v>
      </c>
      <c r="AA14" s="239">
        <f t="shared" si="10"/>
        <v>0</v>
      </c>
      <c r="AB14" s="240"/>
    </row>
    <row r="15" spans="1:33" ht="32.25" customHeight="1" x14ac:dyDescent="0.2">
      <c r="A15" s="225">
        <f>SALARY!A16</f>
        <v>0</v>
      </c>
      <c r="B15" s="344">
        <f>SALARY!B16</f>
        <v>0</v>
      </c>
      <c r="C15" s="345"/>
      <c r="D15" s="226">
        <f>SALARY!D16</f>
        <v>0</v>
      </c>
      <c r="E15" s="299">
        <f>SALARY!E16</f>
        <v>0</v>
      </c>
      <c r="F15" s="228">
        <f t="shared" si="1"/>
        <v>0</v>
      </c>
      <c r="G15" s="229">
        <f>SALARY!H16</f>
        <v>0</v>
      </c>
      <c r="H15" s="230">
        <f>SALARY!I16</f>
        <v>0</v>
      </c>
      <c r="I15" s="231">
        <f t="shared" si="2"/>
        <v>0</v>
      </c>
      <c r="J15" s="232">
        <f t="shared" si="11"/>
        <v>0</v>
      </c>
      <c r="K15" s="233">
        <f>SALARY!L16</f>
        <v>0</v>
      </c>
      <c r="L15" s="234">
        <f>SALARY!M16</f>
        <v>0</v>
      </c>
      <c r="M15" s="235">
        <f t="shared" si="0"/>
        <v>0</v>
      </c>
      <c r="N15" s="232">
        <f t="shared" si="3"/>
        <v>0</v>
      </c>
      <c r="O15" s="233">
        <f>SALARY!P16</f>
        <v>0</v>
      </c>
      <c r="P15" s="234">
        <f>SALARY!Q16</f>
        <v>0</v>
      </c>
      <c r="Q15" s="235">
        <f t="shared" si="4"/>
        <v>0</v>
      </c>
      <c r="R15" s="232">
        <f t="shared" si="5"/>
        <v>0</v>
      </c>
      <c r="S15" s="233">
        <f>SALARY!T16</f>
        <v>0</v>
      </c>
      <c r="T15" s="234">
        <f>SALARY!U16</f>
        <v>0</v>
      </c>
      <c r="U15" s="235">
        <f t="shared" si="6"/>
        <v>0</v>
      </c>
      <c r="V15" s="232">
        <f t="shared" si="7"/>
        <v>0</v>
      </c>
      <c r="W15" s="233">
        <f>SALARY!X16</f>
        <v>0</v>
      </c>
      <c r="X15" s="234">
        <f>SALARY!Y16</f>
        <v>0</v>
      </c>
      <c r="Y15" s="235">
        <f t="shared" si="8"/>
        <v>0</v>
      </c>
      <c r="Z15" s="232">
        <f t="shared" si="9"/>
        <v>0</v>
      </c>
      <c r="AA15" s="239">
        <f t="shared" si="10"/>
        <v>0</v>
      </c>
      <c r="AB15" s="240"/>
    </row>
    <row r="16" spans="1:33" ht="32.25" customHeight="1" x14ac:dyDescent="0.2">
      <c r="A16" s="225">
        <f>SALARY!A17</f>
        <v>0</v>
      </c>
      <c r="B16" s="344">
        <f>SALARY!B17</f>
        <v>0</v>
      </c>
      <c r="C16" s="345"/>
      <c r="D16" s="226">
        <f>SALARY!D17</f>
        <v>0</v>
      </c>
      <c r="E16" s="299">
        <f>SALARY!E17</f>
        <v>0</v>
      </c>
      <c r="F16" s="228">
        <f t="shared" si="1"/>
        <v>0</v>
      </c>
      <c r="G16" s="229">
        <f>SALARY!H17</f>
        <v>0</v>
      </c>
      <c r="H16" s="230">
        <f>SALARY!I17</f>
        <v>0</v>
      </c>
      <c r="I16" s="231">
        <f t="shared" si="2"/>
        <v>0</v>
      </c>
      <c r="J16" s="232">
        <f t="shared" si="11"/>
        <v>0</v>
      </c>
      <c r="K16" s="233">
        <f>SALARY!L17</f>
        <v>0</v>
      </c>
      <c r="L16" s="234">
        <f>SALARY!M17</f>
        <v>0</v>
      </c>
      <c r="M16" s="235">
        <f t="shared" si="0"/>
        <v>0</v>
      </c>
      <c r="N16" s="232">
        <f t="shared" si="3"/>
        <v>0</v>
      </c>
      <c r="O16" s="233">
        <f>SALARY!P17</f>
        <v>0</v>
      </c>
      <c r="P16" s="234">
        <f>SALARY!Q17</f>
        <v>0</v>
      </c>
      <c r="Q16" s="235">
        <f t="shared" si="4"/>
        <v>0</v>
      </c>
      <c r="R16" s="232">
        <f t="shared" si="5"/>
        <v>0</v>
      </c>
      <c r="S16" s="233">
        <f>SALARY!T17</f>
        <v>0</v>
      </c>
      <c r="T16" s="234">
        <f>SALARY!U17</f>
        <v>0</v>
      </c>
      <c r="U16" s="235">
        <f t="shared" si="6"/>
        <v>0</v>
      </c>
      <c r="V16" s="232">
        <f t="shared" si="7"/>
        <v>0</v>
      </c>
      <c r="W16" s="233">
        <f>SALARY!X17</f>
        <v>0</v>
      </c>
      <c r="X16" s="234">
        <f>SALARY!Y17</f>
        <v>0</v>
      </c>
      <c r="Y16" s="235">
        <f t="shared" si="8"/>
        <v>0</v>
      </c>
      <c r="Z16" s="232">
        <f t="shared" si="9"/>
        <v>0</v>
      </c>
      <c r="AA16" s="239">
        <f t="shared" si="10"/>
        <v>0</v>
      </c>
      <c r="AB16" s="240"/>
    </row>
    <row r="17" spans="1:28" ht="32.25" customHeight="1" x14ac:dyDescent="0.2">
      <c r="A17" s="225">
        <f>SALARY!A18</f>
        <v>0</v>
      </c>
      <c r="B17" s="344">
        <f>SALARY!B18</f>
        <v>0</v>
      </c>
      <c r="C17" s="345"/>
      <c r="D17" s="226">
        <f>SALARY!D18</f>
        <v>0</v>
      </c>
      <c r="E17" s="227">
        <f>SALARY!E18</f>
        <v>0</v>
      </c>
      <c r="F17" s="228">
        <f t="shared" si="1"/>
        <v>0</v>
      </c>
      <c r="G17" s="229">
        <f>SALARY!H18</f>
        <v>0</v>
      </c>
      <c r="H17" s="230">
        <f>SALARY!I18</f>
        <v>0</v>
      </c>
      <c r="I17" s="231">
        <f t="shared" si="2"/>
        <v>0</v>
      </c>
      <c r="J17" s="232">
        <f t="shared" si="11"/>
        <v>0</v>
      </c>
      <c r="K17" s="233">
        <f>SALARY!L18</f>
        <v>0</v>
      </c>
      <c r="L17" s="234">
        <f>SALARY!M18</f>
        <v>0</v>
      </c>
      <c r="M17" s="235">
        <f t="shared" si="0"/>
        <v>0</v>
      </c>
      <c r="N17" s="232">
        <f t="shared" si="3"/>
        <v>0</v>
      </c>
      <c r="O17" s="233">
        <f>SALARY!P18</f>
        <v>0</v>
      </c>
      <c r="P17" s="234">
        <f>SALARY!Q18</f>
        <v>0</v>
      </c>
      <c r="Q17" s="235">
        <f t="shared" si="4"/>
        <v>0</v>
      </c>
      <c r="R17" s="232">
        <f t="shared" si="5"/>
        <v>0</v>
      </c>
      <c r="S17" s="233">
        <f>SALARY!T18</f>
        <v>0</v>
      </c>
      <c r="T17" s="234">
        <f>SALARY!U18</f>
        <v>0</v>
      </c>
      <c r="U17" s="235">
        <f t="shared" si="6"/>
        <v>0</v>
      </c>
      <c r="V17" s="232">
        <f t="shared" si="7"/>
        <v>0</v>
      </c>
      <c r="W17" s="233">
        <f>SALARY!X18</f>
        <v>0</v>
      </c>
      <c r="X17" s="234">
        <f>SALARY!Y18</f>
        <v>0</v>
      </c>
      <c r="Y17" s="235">
        <f t="shared" si="8"/>
        <v>0</v>
      </c>
      <c r="Z17" s="232">
        <f t="shared" si="9"/>
        <v>0</v>
      </c>
      <c r="AA17" s="239">
        <f t="shared" si="10"/>
        <v>0</v>
      </c>
      <c r="AB17" s="240"/>
    </row>
    <row r="18" spans="1:28" ht="32.25" customHeight="1" x14ac:dyDescent="0.2">
      <c r="A18" s="225">
        <f>SALARY!A19</f>
        <v>0</v>
      </c>
      <c r="B18" s="344">
        <f>SALARY!B19</f>
        <v>0</v>
      </c>
      <c r="C18" s="345"/>
      <c r="D18" s="226">
        <f>SALARY!D19</f>
        <v>0</v>
      </c>
      <c r="E18" s="227">
        <f>SALARY!E19</f>
        <v>0</v>
      </c>
      <c r="F18" s="228">
        <f t="shared" si="1"/>
        <v>0</v>
      </c>
      <c r="G18" s="229">
        <f>SALARY!H19</f>
        <v>0</v>
      </c>
      <c r="H18" s="230">
        <f>SALARY!I19</f>
        <v>0</v>
      </c>
      <c r="I18" s="231">
        <f t="shared" si="2"/>
        <v>0</v>
      </c>
      <c r="J18" s="232">
        <f t="shared" si="11"/>
        <v>0</v>
      </c>
      <c r="K18" s="233">
        <f>SALARY!L19</f>
        <v>0</v>
      </c>
      <c r="L18" s="234">
        <f>SALARY!M19</f>
        <v>0</v>
      </c>
      <c r="M18" s="235">
        <f t="shared" si="0"/>
        <v>0</v>
      </c>
      <c r="N18" s="232">
        <f t="shared" si="3"/>
        <v>0</v>
      </c>
      <c r="O18" s="233">
        <f>SALARY!P19</f>
        <v>0</v>
      </c>
      <c r="P18" s="234">
        <f>SALARY!Q19</f>
        <v>0</v>
      </c>
      <c r="Q18" s="235">
        <f t="shared" si="4"/>
        <v>0</v>
      </c>
      <c r="R18" s="232">
        <f t="shared" si="5"/>
        <v>0</v>
      </c>
      <c r="S18" s="233">
        <f>SALARY!T19</f>
        <v>0</v>
      </c>
      <c r="T18" s="234">
        <f>SALARY!U19</f>
        <v>0</v>
      </c>
      <c r="U18" s="235">
        <f t="shared" si="6"/>
        <v>0</v>
      </c>
      <c r="V18" s="232">
        <f t="shared" si="7"/>
        <v>0</v>
      </c>
      <c r="W18" s="233">
        <f>SALARY!X19</f>
        <v>0</v>
      </c>
      <c r="X18" s="234">
        <f>SALARY!Y19</f>
        <v>0</v>
      </c>
      <c r="Y18" s="235">
        <f t="shared" si="8"/>
        <v>0</v>
      </c>
      <c r="Z18" s="232">
        <f t="shared" si="9"/>
        <v>0</v>
      </c>
      <c r="AA18" s="239">
        <f t="shared" si="10"/>
        <v>0</v>
      </c>
      <c r="AB18" s="240"/>
    </row>
    <row r="19" spans="1:28" ht="32.25" customHeight="1" x14ac:dyDescent="0.2">
      <c r="A19" s="225">
        <f>SALARY!A20</f>
        <v>0</v>
      </c>
      <c r="B19" s="344">
        <f>SALARY!B20</f>
        <v>0</v>
      </c>
      <c r="C19" s="345"/>
      <c r="D19" s="226">
        <f>SALARY!D20</f>
        <v>0</v>
      </c>
      <c r="E19" s="227">
        <f>SALARY!E20</f>
        <v>0</v>
      </c>
      <c r="F19" s="228">
        <f t="shared" si="1"/>
        <v>0</v>
      </c>
      <c r="G19" s="229">
        <f>SALARY!H20</f>
        <v>0</v>
      </c>
      <c r="H19" s="230">
        <f>SALARY!I20</f>
        <v>0</v>
      </c>
      <c r="I19" s="231">
        <f t="shared" si="2"/>
        <v>0</v>
      </c>
      <c r="J19" s="232">
        <f t="shared" si="11"/>
        <v>0</v>
      </c>
      <c r="K19" s="233">
        <f>SALARY!L20</f>
        <v>0</v>
      </c>
      <c r="L19" s="234">
        <f>SALARY!M20</f>
        <v>0</v>
      </c>
      <c r="M19" s="235">
        <f t="shared" si="0"/>
        <v>0</v>
      </c>
      <c r="N19" s="232">
        <f t="shared" si="3"/>
        <v>0</v>
      </c>
      <c r="O19" s="233">
        <f>SALARY!P20</f>
        <v>0</v>
      </c>
      <c r="P19" s="234">
        <f>SALARY!Q20</f>
        <v>0</v>
      </c>
      <c r="Q19" s="235">
        <f t="shared" si="4"/>
        <v>0</v>
      </c>
      <c r="R19" s="232">
        <f t="shared" si="5"/>
        <v>0</v>
      </c>
      <c r="S19" s="233">
        <f>SALARY!T20</f>
        <v>0</v>
      </c>
      <c r="T19" s="234">
        <f>SALARY!U20</f>
        <v>0</v>
      </c>
      <c r="U19" s="235">
        <f t="shared" si="6"/>
        <v>0</v>
      </c>
      <c r="V19" s="232">
        <f t="shared" si="7"/>
        <v>0</v>
      </c>
      <c r="W19" s="233">
        <f>SALARY!X20</f>
        <v>0</v>
      </c>
      <c r="X19" s="234">
        <f>SALARY!Y20</f>
        <v>0</v>
      </c>
      <c r="Y19" s="235">
        <f t="shared" si="8"/>
        <v>0</v>
      </c>
      <c r="Z19" s="232">
        <f t="shared" si="9"/>
        <v>0</v>
      </c>
      <c r="AA19" s="239">
        <f t="shared" si="10"/>
        <v>0</v>
      </c>
      <c r="AB19" s="240"/>
    </row>
    <row r="20" spans="1:28" ht="32.25" customHeight="1" x14ac:dyDescent="0.2">
      <c r="A20" s="225">
        <f>SALARY!A21</f>
        <v>0</v>
      </c>
      <c r="B20" s="344">
        <f>SALARY!B21</f>
        <v>0</v>
      </c>
      <c r="C20" s="345"/>
      <c r="D20" s="226">
        <f>SALARY!D21</f>
        <v>0</v>
      </c>
      <c r="E20" s="227">
        <f>SALARY!E21</f>
        <v>0</v>
      </c>
      <c r="F20" s="228">
        <f t="shared" si="1"/>
        <v>0</v>
      </c>
      <c r="G20" s="229">
        <f>SALARY!H21</f>
        <v>0</v>
      </c>
      <c r="H20" s="230">
        <f>SALARY!I21</f>
        <v>0</v>
      </c>
      <c r="I20" s="231">
        <f t="shared" si="2"/>
        <v>0</v>
      </c>
      <c r="J20" s="232">
        <f t="shared" si="11"/>
        <v>0</v>
      </c>
      <c r="K20" s="233">
        <f>SALARY!L21</f>
        <v>0</v>
      </c>
      <c r="L20" s="234">
        <f>SALARY!M21</f>
        <v>0</v>
      </c>
      <c r="M20" s="235">
        <f t="shared" si="0"/>
        <v>0</v>
      </c>
      <c r="N20" s="232">
        <f t="shared" si="3"/>
        <v>0</v>
      </c>
      <c r="O20" s="233">
        <f>SALARY!P21</f>
        <v>0</v>
      </c>
      <c r="P20" s="234">
        <f>SALARY!Q21</f>
        <v>0</v>
      </c>
      <c r="Q20" s="235">
        <f t="shared" si="4"/>
        <v>0</v>
      </c>
      <c r="R20" s="232">
        <f t="shared" si="5"/>
        <v>0</v>
      </c>
      <c r="S20" s="233">
        <f>SALARY!T21</f>
        <v>0</v>
      </c>
      <c r="T20" s="234">
        <f>SALARY!U21</f>
        <v>0</v>
      </c>
      <c r="U20" s="235">
        <f t="shared" si="6"/>
        <v>0</v>
      </c>
      <c r="V20" s="232">
        <f t="shared" si="7"/>
        <v>0</v>
      </c>
      <c r="W20" s="233">
        <f>SALARY!X21</f>
        <v>0</v>
      </c>
      <c r="X20" s="234">
        <f>SALARY!Y21</f>
        <v>0</v>
      </c>
      <c r="Y20" s="235">
        <f t="shared" si="8"/>
        <v>0</v>
      </c>
      <c r="Z20" s="232">
        <f t="shared" si="9"/>
        <v>0</v>
      </c>
      <c r="AA20" s="239">
        <f t="shared" si="10"/>
        <v>0</v>
      </c>
      <c r="AB20" s="240"/>
    </row>
    <row r="21" spans="1:28" ht="32.25" customHeight="1" x14ac:dyDescent="0.2">
      <c r="A21" s="225">
        <f>SALARY!A22</f>
        <v>0</v>
      </c>
      <c r="B21" s="344">
        <f>SALARY!B22</f>
        <v>0</v>
      </c>
      <c r="C21" s="345"/>
      <c r="D21" s="226">
        <f>SALARY!D22</f>
        <v>0</v>
      </c>
      <c r="E21" s="227">
        <f>SALARY!E22</f>
        <v>0</v>
      </c>
      <c r="F21" s="228">
        <f t="shared" si="1"/>
        <v>0</v>
      </c>
      <c r="G21" s="229">
        <f>SALARY!H22</f>
        <v>0</v>
      </c>
      <c r="H21" s="230">
        <f>SALARY!I22</f>
        <v>0</v>
      </c>
      <c r="I21" s="231">
        <f t="shared" si="2"/>
        <v>0</v>
      </c>
      <c r="J21" s="232">
        <f t="shared" si="11"/>
        <v>0</v>
      </c>
      <c r="K21" s="233">
        <f>SALARY!L22</f>
        <v>0</v>
      </c>
      <c r="L21" s="234">
        <f>SALARY!M22</f>
        <v>0</v>
      </c>
      <c r="M21" s="235">
        <f t="shared" si="0"/>
        <v>0</v>
      </c>
      <c r="N21" s="232">
        <f t="shared" si="3"/>
        <v>0</v>
      </c>
      <c r="O21" s="233">
        <f>SALARY!P22</f>
        <v>0</v>
      </c>
      <c r="P21" s="234">
        <f>SALARY!Q22</f>
        <v>0</v>
      </c>
      <c r="Q21" s="235">
        <f t="shared" si="4"/>
        <v>0</v>
      </c>
      <c r="R21" s="232">
        <f t="shared" si="5"/>
        <v>0</v>
      </c>
      <c r="S21" s="233">
        <f>SALARY!T22</f>
        <v>0</v>
      </c>
      <c r="T21" s="234">
        <f>SALARY!U22</f>
        <v>0</v>
      </c>
      <c r="U21" s="235">
        <f t="shared" si="6"/>
        <v>0</v>
      </c>
      <c r="V21" s="232">
        <f t="shared" si="7"/>
        <v>0</v>
      </c>
      <c r="W21" s="233">
        <f>SALARY!X22</f>
        <v>0</v>
      </c>
      <c r="X21" s="234">
        <f>SALARY!Y22</f>
        <v>0</v>
      </c>
      <c r="Y21" s="235">
        <f t="shared" si="8"/>
        <v>0</v>
      </c>
      <c r="Z21" s="232">
        <f t="shared" si="9"/>
        <v>0</v>
      </c>
      <c r="AA21" s="239">
        <f t="shared" si="10"/>
        <v>0</v>
      </c>
      <c r="AB21" s="240"/>
    </row>
    <row r="22" spans="1:28" ht="32.25" customHeight="1" x14ac:dyDescent="0.2">
      <c r="A22" s="225">
        <f>SALARY!A23</f>
        <v>0</v>
      </c>
      <c r="B22" s="344">
        <f>SALARY!B23</f>
        <v>0</v>
      </c>
      <c r="C22" s="345"/>
      <c r="D22" s="226">
        <f>SALARY!D23</f>
        <v>0</v>
      </c>
      <c r="E22" s="227">
        <f>SALARY!E23</f>
        <v>0</v>
      </c>
      <c r="F22" s="228">
        <f t="shared" si="1"/>
        <v>0</v>
      </c>
      <c r="G22" s="229">
        <f>SALARY!H23</f>
        <v>0</v>
      </c>
      <c r="H22" s="230">
        <f>SALARY!I23</f>
        <v>0</v>
      </c>
      <c r="I22" s="231">
        <f t="shared" si="2"/>
        <v>0</v>
      </c>
      <c r="J22" s="232">
        <f t="shared" si="11"/>
        <v>0</v>
      </c>
      <c r="K22" s="233">
        <f>SALARY!L23</f>
        <v>0</v>
      </c>
      <c r="L22" s="234">
        <f>SALARY!M23</f>
        <v>0</v>
      </c>
      <c r="M22" s="235">
        <f t="shared" si="0"/>
        <v>0</v>
      </c>
      <c r="N22" s="232">
        <f t="shared" si="3"/>
        <v>0</v>
      </c>
      <c r="O22" s="233">
        <f>SALARY!P23</f>
        <v>0</v>
      </c>
      <c r="P22" s="234">
        <f>SALARY!Q23</f>
        <v>0</v>
      </c>
      <c r="Q22" s="235">
        <f t="shared" si="4"/>
        <v>0</v>
      </c>
      <c r="R22" s="232">
        <f t="shared" si="5"/>
        <v>0</v>
      </c>
      <c r="S22" s="233">
        <f>SALARY!T23</f>
        <v>0</v>
      </c>
      <c r="T22" s="234">
        <f>SALARY!U23</f>
        <v>0</v>
      </c>
      <c r="U22" s="235">
        <f t="shared" si="6"/>
        <v>0</v>
      </c>
      <c r="V22" s="232">
        <f t="shared" si="7"/>
        <v>0</v>
      </c>
      <c r="W22" s="233">
        <f>SALARY!X23</f>
        <v>0</v>
      </c>
      <c r="X22" s="234">
        <f>SALARY!Y23</f>
        <v>0</v>
      </c>
      <c r="Y22" s="235">
        <f t="shared" si="8"/>
        <v>0</v>
      </c>
      <c r="Z22" s="232">
        <f t="shared" si="9"/>
        <v>0</v>
      </c>
      <c r="AA22" s="239">
        <f t="shared" si="10"/>
        <v>0</v>
      </c>
      <c r="AB22" s="240"/>
    </row>
    <row r="23" spans="1:28" ht="32.25" customHeight="1" x14ac:dyDescent="0.2">
      <c r="A23" s="225">
        <f>SALARY!A24</f>
        <v>0</v>
      </c>
      <c r="B23" s="344">
        <f>SALARY!B24</f>
        <v>0</v>
      </c>
      <c r="C23" s="345"/>
      <c r="D23" s="226">
        <f>SALARY!D24</f>
        <v>0</v>
      </c>
      <c r="E23" s="227">
        <f>SALARY!E24</f>
        <v>0</v>
      </c>
      <c r="F23" s="228">
        <f t="shared" si="1"/>
        <v>0</v>
      </c>
      <c r="G23" s="229">
        <f>SALARY!H24</f>
        <v>0</v>
      </c>
      <c r="H23" s="230">
        <f>SALARY!I24</f>
        <v>0</v>
      </c>
      <c r="I23" s="231">
        <f t="shared" si="2"/>
        <v>0</v>
      </c>
      <c r="J23" s="232">
        <f t="shared" si="11"/>
        <v>0</v>
      </c>
      <c r="K23" s="233">
        <f>SALARY!L24</f>
        <v>0</v>
      </c>
      <c r="L23" s="242">
        <f>SALARY!M24</f>
        <v>0</v>
      </c>
      <c r="M23" s="235">
        <f t="shared" si="0"/>
        <v>0</v>
      </c>
      <c r="N23" s="232">
        <f t="shared" si="3"/>
        <v>0</v>
      </c>
      <c r="O23" s="233">
        <f>SALARY!P24</f>
        <v>0</v>
      </c>
      <c r="P23" s="242">
        <f>SALARY!Q24</f>
        <v>0</v>
      </c>
      <c r="Q23" s="235">
        <f t="shared" si="4"/>
        <v>0</v>
      </c>
      <c r="R23" s="232">
        <f t="shared" si="5"/>
        <v>0</v>
      </c>
      <c r="S23" s="233">
        <f>SALARY!T24</f>
        <v>0</v>
      </c>
      <c r="T23" s="242">
        <f>SALARY!U24</f>
        <v>0</v>
      </c>
      <c r="U23" s="235">
        <f t="shared" si="6"/>
        <v>0</v>
      </c>
      <c r="V23" s="232">
        <f t="shared" si="7"/>
        <v>0</v>
      </c>
      <c r="W23" s="233">
        <f>SALARY!X24</f>
        <v>0</v>
      </c>
      <c r="X23" s="242">
        <f>SALARY!Y24</f>
        <v>0</v>
      </c>
      <c r="Y23" s="235">
        <f t="shared" si="8"/>
        <v>0</v>
      </c>
      <c r="Z23" s="232">
        <f t="shared" si="9"/>
        <v>0</v>
      </c>
      <c r="AA23" s="239">
        <f t="shared" si="10"/>
        <v>0</v>
      </c>
      <c r="AB23" s="240"/>
    </row>
    <row r="24" spans="1:28" ht="33.75" customHeight="1" x14ac:dyDescent="0.2">
      <c r="A24" s="243"/>
      <c r="B24" s="244"/>
      <c r="C24" s="244"/>
      <c r="D24" s="245" t="s">
        <v>7</v>
      </c>
      <c r="E24" s="244"/>
      <c r="F24" s="244"/>
      <c r="G24" s="246"/>
      <c r="H24" s="247">
        <f>SUM(H9:H23)</f>
        <v>0</v>
      </c>
      <c r="I24" s="247">
        <f>SUM(I9:I23)</f>
        <v>0</v>
      </c>
      <c r="J24" s="248">
        <f>SUM(J9:J23)</f>
        <v>0</v>
      </c>
      <c r="K24" s="249">
        <f>SUM(K9:K23)</f>
        <v>0</v>
      </c>
      <c r="L24" s="250">
        <f t="shared" ref="L24:M24" si="12">SUM(L9:L23)</f>
        <v>0</v>
      </c>
      <c r="M24" s="251">
        <f t="shared" si="12"/>
        <v>0</v>
      </c>
      <c r="N24" s="248">
        <f t="shared" ref="N24:AA24" si="13">SUM(N9:N23)</f>
        <v>0</v>
      </c>
      <c r="O24" s="249">
        <f t="shared" si="13"/>
        <v>0</v>
      </c>
      <c r="P24" s="252">
        <f t="shared" si="13"/>
        <v>0</v>
      </c>
      <c r="Q24" s="250">
        <f t="shared" si="13"/>
        <v>0</v>
      </c>
      <c r="R24" s="248">
        <f t="shared" si="13"/>
        <v>0</v>
      </c>
      <c r="S24" s="249">
        <f t="shared" si="13"/>
        <v>0</v>
      </c>
      <c r="T24" s="252">
        <f t="shared" si="13"/>
        <v>0</v>
      </c>
      <c r="U24" s="250">
        <f t="shared" si="13"/>
        <v>0</v>
      </c>
      <c r="V24" s="248">
        <f t="shared" si="13"/>
        <v>0</v>
      </c>
      <c r="W24" s="253">
        <f t="shared" si="13"/>
        <v>0</v>
      </c>
      <c r="X24" s="252">
        <f t="shared" si="13"/>
        <v>0</v>
      </c>
      <c r="Y24" s="250">
        <f t="shared" si="13"/>
        <v>0</v>
      </c>
      <c r="Z24" s="248">
        <f t="shared" si="13"/>
        <v>0</v>
      </c>
      <c r="AA24" s="254">
        <f t="shared" si="13"/>
        <v>0</v>
      </c>
      <c r="AB24" s="240"/>
    </row>
    <row r="25" spans="1:28" ht="33.75" customHeight="1" thickBot="1" x14ac:dyDescent="0.3">
      <c r="A25" s="255"/>
      <c r="B25" s="335" t="s">
        <v>10</v>
      </c>
      <c r="C25" s="335"/>
      <c r="D25" s="335"/>
      <c r="E25" s="335"/>
      <c r="F25" s="335"/>
      <c r="G25" s="335"/>
      <c r="H25" s="335"/>
      <c r="I25" s="336"/>
      <c r="J25" s="256" t="s">
        <v>11</v>
      </c>
      <c r="K25" s="369"/>
      <c r="L25" s="370"/>
      <c r="M25" s="371"/>
      <c r="N25" s="256" t="s">
        <v>11</v>
      </c>
      <c r="O25" s="369"/>
      <c r="P25" s="370"/>
      <c r="Q25" s="371"/>
      <c r="R25" s="257" t="s">
        <v>11</v>
      </c>
      <c r="S25" s="369"/>
      <c r="T25" s="370"/>
      <c r="U25" s="371"/>
      <c r="V25" s="257" t="s">
        <v>11</v>
      </c>
      <c r="W25" s="369"/>
      <c r="X25" s="370"/>
      <c r="Y25" s="371"/>
      <c r="Z25" s="257" t="s">
        <v>11</v>
      </c>
      <c r="AA25" s="258" t="s">
        <v>11</v>
      </c>
      <c r="AB25" s="240"/>
    </row>
    <row r="26" spans="1:28" ht="36.75" customHeight="1" x14ac:dyDescent="0.2">
      <c r="A26" s="259" t="s">
        <v>3</v>
      </c>
      <c r="B26" s="359"/>
      <c r="C26" s="360"/>
      <c r="D26" s="360"/>
      <c r="E26" s="360"/>
      <c r="F26" s="360"/>
      <c r="G26" s="360"/>
      <c r="H26" s="360"/>
      <c r="I26" s="361"/>
      <c r="J26" s="260">
        <v>0</v>
      </c>
      <c r="K26" s="364"/>
      <c r="L26" s="365"/>
      <c r="M26" s="366"/>
      <c r="N26" s="260">
        <v>0</v>
      </c>
      <c r="O26" s="364"/>
      <c r="P26" s="365"/>
      <c r="Q26" s="366"/>
      <c r="R26" s="260">
        <v>0</v>
      </c>
      <c r="S26" s="364"/>
      <c r="T26" s="365"/>
      <c r="U26" s="366"/>
      <c r="V26" s="260">
        <v>0</v>
      </c>
      <c r="W26" s="364"/>
      <c r="X26" s="365"/>
      <c r="Y26" s="366"/>
      <c r="Z26" s="260">
        <v>0</v>
      </c>
      <c r="AA26" s="261">
        <f>J26+N26+R26+V26+Z26</f>
        <v>0</v>
      </c>
      <c r="AB26" s="240"/>
    </row>
    <row r="27" spans="1:28" ht="36.75" customHeight="1" x14ac:dyDescent="0.2">
      <c r="A27" s="262" t="s">
        <v>118</v>
      </c>
      <c r="B27" s="378">
        <v>0</v>
      </c>
      <c r="C27" s="379"/>
      <c r="D27" s="379"/>
      <c r="E27" s="379"/>
      <c r="F27" s="379"/>
      <c r="G27" s="379"/>
      <c r="H27" s="379"/>
      <c r="I27" s="380"/>
      <c r="J27" s="263">
        <v>0</v>
      </c>
      <c r="K27" s="416">
        <v>0</v>
      </c>
      <c r="L27" s="417"/>
      <c r="M27" s="418"/>
      <c r="N27" s="263">
        <v>0</v>
      </c>
      <c r="O27" s="416" t="s">
        <v>151</v>
      </c>
      <c r="P27" s="417"/>
      <c r="Q27" s="418"/>
      <c r="R27" s="263">
        <v>0</v>
      </c>
      <c r="S27" s="416">
        <v>0</v>
      </c>
      <c r="T27" s="417"/>
      <c r="U27" s="418"/>
      <c r="V27" s="263">
        <f>(R27*0.1)+R27</f>
        <v>0</v>
      </c>
      <c r="W27" s="416">
        <v>0</v>
      </c>
      <c r="X27" s="417"/>
      <c r="Y27" s="418"/>
      <c r="Z27" s="263">
        <f>(V27*0.1)+V27</f>
        <v>0</v>
      </c>
      <c r="AA27" s="264">
        <f>J27+N27+R27+V27+Z27</f>
        <v>0</v>
      </c>
      <c r="AB27" s="240"/>
    </row>
    <row r="28" spans="1:28" ht="36.75" customHeight="1" x14ac:dyDescent="0.2">
      <c r="A28" s="262" t="s">
        <v>152</v>
      </c>
      <c r="B28" s="265"/>
      <c r="C28" s="266"/>
      <c r="D28" s="266"/>
      <c r="E28" s="266"/>
      <c r="F28" s="266"/>
      <c r="G28" s="266"/>
      <c r="H28" s="266"/>
      <c r="I28" s="267"/>
      <c r="J28" s="263">
        <f>'EQUIPMENT '!B12</f>
        <v>0</v>
      </c>
      <c r="K28" s="416"/>
      <c r="L28" s="417"/>
      <c r="M28" s="418"/>
      <c r="N28" s="263">
        <f>'EQUIPMENT '!C12</f>
        <v>0</v>
      </c>
      <c r="O28" s="416"/>
      <c r="P28" s="417"/>
      <c r="Q28" s="418"/>
      <c r="R28" s="263">
        <f>'EQUIPMENT '!D12</f>
        <v>0</v>
      </c>
      <c r="S28" s="416"/>
      <c r="T28" s="417"/>
      <c r="U28" s="418"/>
      <c r="V28" s="263">
        <f>'EQUIPMENT '!E12</f>
        <v>0</v>
      </c>
      <c r="W28" s="416"/>
      <c r="X28" s="417"/>
      <c r="Y28" s="418"/>
      <c r="Z28" s="263">
        <f>'EQUIPMENT '!F12</f>
        <v>0</v>
      </c>
      <c r="AA28" s="264">
        <f t="shared" ref="AA28:AA37" si="14">J28+N28+R28+V28+Z28</f>
        <v>0</v>
      </c>
      <c r="AB28" s="240"/>
    </row>
    <row r="29" spans="1:28" ht="36.75" customHeight="1" x14ac:dyDescent="0.2">
      <c r="A29" s="262" t="s">
        <v>153</v>
      </c>
      <c r="B29" s="378"/>
      <c r="C29" s="379"/>
      <c r="D29" s="379"/>
      <c r="E29" s="379"/>
      <c r="F29" s="379"/>
      <c r="G29" s="379"/>
      <c r="H29" s="379"/>
      <c r="I29" s="380"/>
      <c r="J29" s="263">
        <v>0</v>
      </c>
      <c r="K29" s="416"/>
      <c r="L29" s="417"/>
      <c r="M29" s="418"/>
      <c r="N29" s="263">
        <v>0</v>
      </c>
      <c r="O29" s="416"/>
      <c r="P29" s="417"/>
      <c r="Q29" s="418"/>
      <c r="R29" s="263">
        <v>0</v>
      </c>
      <c r="S29" s="416"/>
      <c r="T29" s="417"/>
      <c r="U29" s="418"/>
      <c r="V29" s="263">
        <v>0</v>
      </c>
      <c r="W29" s="416"/>
      <c r="X29" s="417"/>
      <c r="Y29" s="418"/>
      <c r="Z29" s="263">
        <v>0</v>
      </c>
      <c r="AA29" s="264">
        <f t="shared" si="14"/>
        <v>0</v>
      </c>
      <c r="AB29" s="240"/>
    </row>
    <row r="30" spans="1:28" ht="36.75" customHeight="1" x14ac:dyDescent="0.2">
      <c r="A30" s="262" t="s">
        <v>119</v>
      </c>
      <c r="B30" s="378"/>
      <c r="C30" s="379"/>
      <c r="D30" s="379"/>
      <c r="E30" s="379"/>
      <c r="F30" s="379"/>
      <c r="G30" s="379"/>
      <c r="H30" s="379"/>
      <c r="I30" s="380"/>
      <c r="J30" s="260">
        <v>0</v>
      </c>
      <c r="K30" s="364"/>
      <c r="L30" s="365"/>
      <c r="M30" s="366"/>
      <c r="N30" s="260">
        <v>0</v>
      </c>
      <c r="O30" s="364"/>
      <c r="P30" s="365"/>
      <c r="Q30" s="366"/>
      <c r="R30" s="260">
        <v>0</v>
      </c>
      <c r="S30" s="364"/>
      <c r="T30" s="365"/>
      <c r="U30" s="366"/>
      <c r="V30" s="260">
        <v>0</v>
      </c>
      <c r="W30" s="364"/>
      <c r="X30" s="365"/>
      <c r="Y30" s="366"/>
      <c r="Z30" s="260">
        <v>0</v>
      </c>
      <c r="AA30" s="264">
        <f t="shared" si="14"/>
        <v>0</v>
      </c>
      <c r="AB30" s="240"/>
    </row>
    <row r="31" spans="1:28" ht="36.75" customHeight="1" x14ac:dyDescent="0.2">
      <c r="A31" s="262" t="s">
        <v>154</v>
      </c>
      <c r="B31" s="378"/>
      <c r="C31" s="379"/>
      <c r="D31" s="379"/>
      <c r="E31" s="379"/>
      <c r="F31" s="379"/>
      <c r="G31" s="379"/>
      <c r="H31" s="379"/>
      <c r="I31" s="380"/>
      <c r="J31" s="260">
        <f>'PATIENT CARE'!E12</f>
        <v>0</v>
      </c>
      <c r="K31" s="364"/>
      <c r="L31" s="365"/>
      <c r="M31" s="366"/>
      <c r="N31" s="260">
        <f>'PATIENT CARE'!F12</f>
        <v>0</v>
      </c>
      <c r="O31" s="364"/>
      <c r="P31" s="365"/>
      <c r="Q31" s="366"/>
      <c r="R31" s="260">
        <f>'PATIENT CARE'!G12</f>
        <v>0</v>
      </c>
      <c r="S31" s="364"/>
      <c r="T31" s="365"/>
      <c r="U31" s="366"/>
      <c r="V31" s="260">
        <f>'PATIENT CARE'!H12</f>
        <v>0</v>
      </c>
      <c r="W31" s="364"/>
      <c r="X31" s="365"/>
      <c r="Y31" s="366"/>
      <c r="Z31" s="260">
        <f>'PATIENT CARE'!I12</f>
        <v>0</v>
      </c>
      <c r="AA31" s="264">
        <f t="shared" si="14"/>
        <v>0</v>
      </c>
      <c r="AB31" s="240"/>
    </row>
    <row r="32" spans="1:28" ht="36.75" customHeight="1" x14ac:dyDescent="0.2">
      <c r="A32" s="262" t="s">
        <v>145</v>
      </c>
      <c r="B32" s="378"/>
      <c r="C32" s="379"/>
      <c r="D32" s="379"/>
      <c r="E32" s="379"/>
      <c r="F32" s="379"/>
      <c r="G32" s="379"/>
      <c r="H32" s="379"/>
      <c r="I32" s="380"/>
      <c r="J32" s="260">
        <f>'SUB-AWARD'!C41</f>
        <v>0</v>
      </c>
      <c r="K32" s="364"/>
      <c r="L32" s="365"/>
      <c r="M32" s="366"/>
      <c r="N32" s="260">
        <f>'SUB-AWARD'!D41</f>
        <v>0</v>
      </c>
      <c r="O32" s="364"/>
      <c r="P32" s="365"/>
      <c r="Q32" s="366"/>
      <c r="R32" s="260">
        <f>'SUB-AWARD'!E41</f>
        <v>0</v>
      </c>
      <c r="S32" s="364"/>
      <c r="T32" s="365"/>
      <c r="U32" s="366"/>
      <c r="V32" s="260">
        <f>'SUB-AWARD'!F41</f>
        <v>0</v>
      </c>
      <c r="W32" s="364"/>
      <c r="X32" s="365"/>
      <c r="Y32" s="366"/>
      <c r="Z32" s="260">
        <f>'SUB-AWARD'!G41</f>
        <v>0</v>
      </c>
      <c r="AA32" s="264">
        <f t="shared" si="14"/>
        <v>0</v>
      </c>
      <c r="AB32" s="240"/>
    </row>
    <row r="33" spans="1:28" ht="36.75" customHeight="1" x14ac:dyDescent="0.2">
      <c r="A33" s="268" t="s">
        <v>155</v>
      </c>
      <c r="B33" s="378"/>
      <c r="C33" s="379"/>
      <c r="D33" s="379"/>
      <c r="E33" s="379"/>
      <c r="F33" s="379"/>
      <c r="G33" s="379"/>
      <c r="H33" s="379"/>
      <c r="I33" s="380"/>
      <c r="J33" s="269">
        <v>0</v>
      </c>
      <c r="K33" s="364"/>
      <c r="L33" s="365"/>
      <c r="M33" s="366"/>
      <c r="N33" s="269">
        <v>0</v>
      </c>
      <c r="O33" s="364"/>
      <c r="P33" s="365"/>
      <c r="Q33" s="366"/>
      <c r="R33" s="269">
        <v>0</v>
      </c>
      <c r="S33" s="364"/>
      <c r="T33" s="365"/>
      <c r="U33" s="366"/>
      <c r="V33" s="269">
        <v>0</v>
      </c>
      <c r="W33" s="364"/>
      <c r="X33" s="365"/>
      <c r="Y33" s="366"/>
      <c r="Z33" s="269">
        <v>0</v>
      </c>
      <c r="AA33" s="264">
        <f t="shared" si="14"/>
        <v>0</v>
      </c>
      <c r="AB33" s="240"/>
    </row>
    <row r="34" spans="1:28" ht="36.75" customHeight="1" x14ac:dyDescent="0.2">
      <c r="A34" s="268" t="s">
        <v>155</v>
      </c>
      <c r="B34" s="265"/>
      <c r="C34" s="266"/>
      <c r="D34" s="266"/>
      <c r="E34" s="266"/>
      <c r="F34" s="266"/>
      <c r="G34" s="266"/>
      <c r="H34" s="266"/>
      <c r="I34" s="267"/>
      <c r="J34" s="269">
        <v>0</v>
      </c>
      <c r="K34" s="364"/>
      <c r="L34" s="365"/>
      <c r="M34" s="366"/>
      <c r="N34" s="269">
        <v>0</v>
      </c>
      <c r="O34" s="364"/>
      <c r="P34" s="365"/>
      <c r="Q34" s="366"/>
      <c r="R34" s="269">
        <v>0</v>
      </c>
      <c r="S34" s="364"/>
      <c r="T34" s="365"/>
      <c r="U34" s="366"/>
      <c r="V34" s="269">
        <v>0</v>
      </c>
      <c r="W34" s="364"/>
      <c r="X34" s="365"/>
      <c r="Y34" s="366"/>
      <c r="Z34" s="270">
        <v>0</v>
      </c>
      <c r="AA34" s="264">
        <f t="shared" si="14"/>
        <v>0</v>
      </c>
      <c r="AB34" s="240"/>
    </row>
    <row r="35" spans="1:28" ht="36.75" customHeight="1" x14ac:dyDescent="0.2">
      <c r="A35" s="268" t="s">
        <v>155</v>
      </c>
      <c r="B35" s="378"/>
      <c r="C35" s="379"/>
      <c r="D35" s="379"/>
      <c r="E35" s="379"/>
      <c r="F35" s="379"/>
      <c r="G35" s="379"/>
      <c r="H35" s="379"/>
      <c r="I35" s="380"/>
      <c r="J35" s="269">
        <v>0</v>
      </c>
      <c r="K35" s="364"/>
      <c r="L35" s="365"/>
      <c r="M35" s="366"/>
      <c r="N35" s="269">
        <v>0</v>
      </c>
      <c r="O35" s="364"/>
      <c r="P35" s="365"/>
      <c r="Q35" s="366"/>
      <c r="R35" s="269">
        <v>0</v>
      </c>
      <c r="S35" s="364"/>
      <c r="T35" s="365"/>
      <c r="U35" s="366"/>
      <c r="V35" s="269">
        <v>0</v>
      </c>
      <c r="W35" s="364"/>
      <c r="X35" s="365"/>
      <c r="Y35" s="366"/>
      <c r="Z35" s="270">
        <v>0</v>
      </c>
      <c r="AA35" s="264">
        <f t="shared" si="14"/>
        <v>0</v>
      </c>
      <c r="AB35" s="240"/>
    </row>
    <row r="36" spans="1:28" ht="36.75" customHeight="1" x14ac:dyDescent="0.2">
      <c r="A36" s="268" t="s">
        <v>155</v>
      </c>
      <c r="B36" s="378"/>
      <c r="C36" s="379"/>
      <c r="D36" s="379"/>
      <c r="E36" s="379"/>
      <c r="F36" s="379"/>
      <c r="G36" s="379"/>
      <c r="H36" s="379"/>
      <c r="I36" s="380"/>
      <c r="J36" s="269">
        <v>0</v>
      </c>
      <c r="K36" s="364"/>
      <c r="L36" s="365"/>
      <c r="M36" s="366"/>
      <c r="N36" s="269">
        <v>0</v>
      </c>
      <c r="O36" s="364"/>
      <c r="P36" s="365"/>
      <c r="Q36" s="366"/>
      <c r="R36" s="269">
        <v>0</v>
      </c>
      <c r="S36" s="364"/>
      <c r="T36" s="365"/>
      <c r="U36" s="366"/>
      <c r="V36" s="269">
        <v>0</v>
      </c>
      <c r="W36" s="364"/>
      <c r="X36" s="365"/>
      <c r="Y36" s="366"/>
      <c r="Z36" s="270">
        <v>0</v>
      </c>
      <c r="AA36" s="264">
        <f t="shared" si="14"/>
        <v>0</v>
      </c>
      <c r="AB36" s="240"/>
    </row>
    <row r="37" spans="1:28" ht="33" customHeight="1" thickBot="1" x14ac:dyDescent="0.25">
      <c r="A37" s="255"/>
      <c r="B37" s="271"/>
      <c r="C37" s="271"/>
      <c r="D37" s="272"/>
      <c r="E37" s="271"/>
      <c r="F37" s="271"/>
      <c r="G37" s="272"/>
      <c r="H37" s="272" t="s">
        <v>8</v>
      </c>
      <c r="I37" s="273"/>
      <c r="J37" s="274">
        <f>SUM(J26:J36)</f>
        <v>0</v>
      </c>
      <c r="K37" s="393"/>
      <c r="L37" s="393"/>
      <c r="M37" s="393"/>
      <c r="N37" s="274">
        <f>SUM(N26:N36)</f>
        <v>0</v>
      </c>
      <c r="O37" s="392"/>
      <c r="P37" s="392"/>
      <c r="Q37" s="392"/>
      <c r="R37" s="274">
        <f>SUM(R26:R36)</f>
        <v>0</v>
      </c>
      <c r="S37" s="395"/>
      <c r="T37" s="392"/>
      <c r="U37" s="392"/>
      <c r="V37" s="274">
        <f>SUM(V26:V36)</f>
        <v>0</v>
      </c>
      <c r="W37" s="398"/>
      <c r="X37" s="399"/>
      <c r="Y37" s="399"/>
      <c r="Z37" s="274">
        <f>SUM(Z26:Z36)</f>
        <v>0</v>
      </c>
      <c r="AA37" s="264">
        <f t="shared" si="14"/>
        <v>0</v>
      </c>
      <c r="AB37" s="240"/>
    </row>
    <row r="38" spans="1:28" s="3" customFormat="1" ht="30.75" customHeight="1" thickBot="1" x14ac:dyDescent="0.25">
      <c r="A38" s="255"/>
      <c r="B38" s="271"/>
      <c r="C38" s="271"/>
      <c r="D38" s="272"/>
      <c r="E38" s="271"/>
      <c r="F38" s="271"/>
      <c r="G38" s="272"/>
      <c r="H38" s="272" t="s">
        <v>92</v>
      </c>
      <c r="I38" s="273"/>
      <c r="J38" s="274">
        <f>+J24+J37</f>
        <v>0</v>
      </c>
      <c r="K38" s="393"/>
      <c r="L38" s="393"/>
      <c r="M38" s="393"/>
      <c r="N38" s="274">
        <f>+N24+N37</f>
        <v>0</v>
      </c>
      <c r="O38" s="393"/>
      <c r="P38" s="393"/>
      <c r="Q38" s="393"/>
      <c r="R38" s="274">
        <f>+R24+R37</f>
        <v>0</v>
      </c>
      <c r="S38" s="396"/>
      <c r="T38" s="393"/>
      <c r="U38" s="393"/>
      <c r="V38" s="274">
        <f>+V24+V37</f>
        <v>0</v>
      </c>
      <c r="W38" s="400"/>
      <c r="X38" s="401"/>
      <c r="Y38" s="401"/>
      <c r="Z38" s="274">
        <f>+Z24+Z37</f>
        <v>0</v>
      </c>
      <c r="AA38" s="275">
        <f>+AA24+AA37</f>
        <v>0</v>
      </c>
      <c r="AB38" s="240"/>
    </row>
    <row r="39" spans="1:28" ht="25.5" customHeight="1" thickBot="1" x14ac:dyDescent="0.25">
      <c r="A39" s="276"/>
      <c r="B39" s="201" t="s">
        <v>14</v>
      </c>
      <c r="C39" s="201"/>
      <c r="D39" s="201" t="s">
        <v>15</v>
      </c>
      <c r="E39" s="277"/>
      <c r="F39" s="277"/>
      <c r="G39" s="385" t="s">
        <v>65</v>
      </c>
      <c r="H39" s="385"/>
      <c r="I39" s="273"/>
      <c r="J39" s="278">
        <f>IF($F$4="Federal",(J38-J27-J28-J31-J32+'SUB-AWARD'!C42),IF($F$4="Non-Federal",J38))</f>
        <v>0</v>
      </c>
      <c r="K39" s="393"/>
      <c r="L39" s="393"/>
      <c r="M39" s="393"/>
      <c r="N39" s="278">
        <f>IF($F$4="Federal",(N38-N27-N28-N31-N32+'SUB-AWARD'!D42),IF($F$4="Non-Federal",N38))</f>
        <v>0</v>
      </c>
      <c r="O39" s="393"/>
      <c r="P39" s="393"/>
      <c r="Q39" s="393"/>
      <c r="R39" s="278">
        <f>IF($F$4="Federal",(R38-R27-R28-R31-R32+'SUB-AWARD'!E42),IF($F$4="Non-Federal",R38))</f>
        <v>0</v>
      </c>
      <c r="S39" s="396"/>
      <c r="T39" s="393"/>
      <c r="U39" s="393"/>
      <c r="V39" s="278">
        <f>IF($F$4="Federal",(V38-V27-V28-V31-V32+'SUB-AWARD'!F42),IF($F$4="Non-Federal",V38))</f>
        <v>0</v>
      </c>
      <c r="W39" s="400"/>
      <c r="X39" s="401"/>
      <c r="Y39" s="401"/>
      <c r="Z39" s="278">
        <f>IF($F$4="Federal",(Z38-Z27-Z28-Z31-Z32+'SUB-AWARD'!G42),IF($F$4="Non-Federal",Z38))</f>
        <v>0</v>
      </c>
      <c r="AA39" s="279">
        <f>J39+N39+R39+V39+Z39</f>
        <v>0</v>
      </c>
      <c r="AB39" s="240"/>
    </row>
    <row r="40" spans="1:28" ht="27" customHeight="1" thickBot="1" x14ac:dyDescent="0.25">
      <c r="A40" s="280" t="s">
        <v>66</v>
      </c>
      <c r="B40" s="281">
        <v>0.08</v>
      </c>
      <c r="C40" s="282"/>
      <c r="D40" s="283">
        <v>0.08</v>
      </c>
      <c r="E40" s="284"/>
      <c r="F40" s="284"/>
      <c r="G40" s="383" t="s">
        <v>13</v>
      </c>
      <c r="H40" s="383"/>
      <c r="I40" s="284"/>
      <c r="J40" s="278">
        <f>J39*B40</f>
        <v>0</v>
      </c>
      <c r="K40" s="393"/>
      <c r="L40" s="393"/>
      <c r="M40" s="393"/>
      <c r="N40" s="278">
        <f>N39*$D$40</f>
        <v>0</v>
      </c>
      <c r="O40" s="393"/>
      <c r="P40" s="393"/>
      <c r="Q40" s="393"/>
      <c r="R40" s="278">
        <f>R39*$D$40</f>
        <v>0</v>
      </c>
      <c r="S40" s="396"/>
      <c r="T40" s="393"/>
      <c r="U40" s="393"/>
      <c r="V40" s="278">
        <f>V39*$D$40</f>
        <v>0</v>
      </c>
      <c r="W40" s="400"/>
      <c r="X40" s="401"/>
      <c r="Y40" s="401"/>
      <c r="Z40" s="285">
        <f>Z39*$D$40</f>
        <v>0</v>
      </c>
      <c r="AA40" s="286">
        <f>J40+N40+R40+V40+Z40</f>
        <v>0</v>
      </c>
      <c r="AB40" s="240"/>
    </row>
    <row r="41" spans="1:28" ht="27" customHeight="1" thickBot="1" x14ac:dyDescent="0.25">
      <c r="A41" s="280"/>
      <c r="B41" s="281"/>
      <c r="C41" s="282"/>
      <c r="D41" s="283"/>
      <c r="E41" s="388" t="s">
        <v>134</v>
      </c>
      <c r="F41" s="388"/>
      <c r="G41" s="388"/>
      <c r="H41" s="388"/>
      <c r="I41" s="284"/>
      <c r="J41" s="278">
        <f>J38-'SUB-AWARD'!C40</f>
        <v>0</v>
      </c>
      <c r="K41" s="394"/>
      <c r="L41" s="394"/>
      <c r="M41" s="394"/>
      <c r="N41" s="278">
        <f>N38-'SUB-AWARD'!D40</f>
        <v>0</v>
      </c>
      <c r="O41" s="394"/>
      <c r="P41" s="394"/>
      <c r="Q41" s="394"/>
      <c r="R41" s="278">
        <f>R38-'SUB-AWARD'!E40</f>
        <v>0</v>
      </c>
      <c r="S41" s="397"/>
      <c r="T41" s="394"/>
      <c r="U41" s="394"/>
      <c r="V41" s="278">
        <f>V38-'SUB-AWARD'!F40</f>
        <v>0</v>
      </c>
      <c r="W41" s="402"/>
      <c r="X41" s="403"/>
      <c r="Y41" s="403"/>
      <c r="Z41" s="278">
        <f>Z38-'SUB-AWARD'!G40</f>
        <v>0</v>
      </c>
      <c r="AA41" s="286">
        <f>J41+N41+R41+V41+Z41</f>
        <v>0</v>
      </c>
      <c r="AB41" s="240"/>
    </row>
    <row r="42" spans="1:28" ht="24.75" customHeight="1" thickBot="1" x14ac:dyDescent="0.25">
      <c r="A42" s="276"/>
      <c r="B42" s="277"/>
      <c r="C42" s="277"/>
      <c r="D42" s="277"/>
      <c r="E42" s="277"/>
      <c r="F42" s="277"/>
      <c r="G42" s="384" t="s">
        <v>16</v>
      </c>
      <c r="H42" s="384"/>
      <c r="I42" s="287"/>
      <c r="J42" s="288">
        <f>J38+J40</f>
        <v>0</v>
      </c>
      <c r="K42" s="389"/>
      <c r="L42" s="390"/>
      <c r="M42" s="391"/>
      <c r="N42" s="288">
        <f>N38+N40</f>
        <v>0</v>
      </c>
      <c r="O42" s="389"/>
      <c r="P42" s="390"/>
      <c r="Q42" s="391"/>
      <c r="R42" s="288">
        <f>R38+R40</f>
        <v>0</v>
      </c>
      <c r="S42" s="389"/>
      <c r="T42" s="390"/>
      <c r="U42" s="391"/>
      <c r="V42" s="288">
        <f>V38+V40</f>
        <v>0</v>
      </c>
      <c r="W42" s="389"/>
      <c r="X42" s="390"/>
      <c r="Y42" s="391"/>
      <c r="Z42" s="288">
        <f>Z38+Z40</f>
        <v>0</v>
      </c>
      <c r="AA42" s="286">
        <f>AA38+AA40</f>
        <v>0</v>
      </c>
      <c r="AB42" s="240"/>
    </row>
    <row r="46" spans="1:28" ht="15.75" customHeight="1" thickBot="1" x14ac:dyDescent="0.25">
      <c r="A46" s="375" t="s">
        <v>83</v>
      </c>
      <c r="B46" s="376"/>
      <c r="C46" s="376"/>
      <c r="D46" s="376"/>
      <c r="E46" s="376"/>
      <c r="F46" s="376"/>
      <c r="G46" s="376"/>
      <c r="H46" s="376"/>
      <c r="I46" s="377"/>
      <c r="J46" s="289">
        <f>CEILING(J38,25000)</f>
        <v>0</v>
      </c>
      <c r="K46" s="407"/>
      <c r="L46" s="408"/>
      <c r="M46" s="409"/>
      <c r="N46" s="289">
        <f>CEILING(N38,25000)</f>
        <v>0</v>
      </c>
      <c r="O46" s="407"/>
      <c r="P46" s="408"/>
      <c r="Q46" s="409"/>
      <c r="R46" s="289">
        <f>CEILING(R38,25000)</f>
        <v>0</v>
      </c>
      <c r="S46" s="407"/>
      <c r="T46" s="408"/>
      <c r="U46" s="409"/>
      <c r="V46" s="289">
        <f>CEILING(V38,25000)</f>
        <v>0</v>
      </c>
      <c r="W46" s="407"/>
      <c r="X46" s="408"/>
      <c r="Y46" s="409"/>
      <c r="Z46" s="289">
        <f>CEILING(Z38,25000)</f>
        <v>0</v>
      </c>
      <c r="AA46" s="290">
        <f>J46+N46+R46+V46+Z46</f>
        <v>0</v>
      </c>
    </row>
    <row r="47" spans="1:28" ht="16.5" thickBot="1" x14ac:dyDescent="0.25">
      <c r="A47" s="32"/>
      <c r="B47" s="33"/>
      <c r="C47" s="33"/>
      <c r="D47" s="33"/>
      <c r="E47" s="34"/>
      <c r="F47" s="34"/>
      <c r="G47" s="381" t="s">
        <v>64</v>
      </c>
      <c r="H47" s="381"/>
      <c r="I47" s="35"/>
      <c r="J47" s="291">
        <f>J46-J27-J28-J31-J32+'SUB-AWARD'!C42</f>
        <v>0</v>
      </c>
      <c r="K47" s="410"/>
      <c r="L47" s="411"/>
      <c r="M47" s="412"/>
      <c r="N47" s="291">
        <f>N46-N27-N28-N31-N32+'SUB-AWARD'!D42</f>
        <v>0</v>
      </c>
      <c r="O47" s="410"/>
      <c r="P47" s="411"/>
      <c r="Q47" s="412"/>
      <c r="R47" s="291">
        <f>R46-R27-R28-R31-R32+'SUB-AWARD'!E42</f>
        <v>0</v>
      </c>
      <c r="S47" s="410"/>
      <c r="T47" s="411"/>
      <c r="U47" s="412"/>
      <c r="V47" s="291">
        <f>V46-V27-V28-V31-V32+'SUB-AWARD'!F42</f>
        <v>0</v>
      </c>
      <c r="W47" s="410"/>
      <c r="X47" s="411"/>
      <c r="Y47" s="412"/>
      <c r="Z47" s="291">
        <f>Z46-Z27-Z28-Z31-Z32+'SUB-AWARD'!G42</f>
        <v>0</v>
      </c>
      <c r="AA47" s="292">
        <f>J47+N47+R47+V47+Z47</f>
        <v>0</v>
      </c>
    </row>
    <row r="48" spans="1:28" ht="15.75" thickBot="1" x14ac:dyDescent="0.25">
      <c r="A48" s="36"/>
      <c r="B48" s="37"/>
      <c r="C48" s="37"/>
      <c r="D48" s="37"/>
      <c r="E48" s="38"/>
      <c r="F48" s="38"/>
      <c r="G48" s="382" t="s">
        <v>62</v>
      </c>
      <c r="H48" s="382"/>
      <c r="I48" s="38"/>
      <c r="J48" s="291">
        <f>J46*$B$40</f>
        <v>0</v>
      </c>
      <c r="K48" s="410"/>
      <c r="L48" s="411"/>
      <c r="M48" s="412"/>
      <c r="N48" s="291">
        <f>N47*$D$40</f>
        <v>0</v>
      </c>
      <c r="O48" s="410"/>
      <c r="P48" s="411"/>
      <c r="Q48" s="412"/>
      <c r="R48" s="291">
        <f>R47*$D$40</f>
        <v>0</v>
      </c>
      <c r="S48" s="410"/>
      <c r="T48" s="411"/>
      <c r="U48" s="412"/>
      <c r="V48" s="291">
        <f>V47*$D$40</f>
        <v>0</v>
      </c>
      <c r="W48" s="410"/>
      <c r="X48" s="411"/>
      <c r="Y48" s="412"/>
      <c r="Z48" s="291">
        <f>Z47*$D$40</f>
        <v>0</v>
      </c>
      <c r="AA48" s="292">
        <f>J48+N48+R48+V48+Z48</f>
        <v>0</v>
      </c>
    </row>
    <row r="49" spans="1:27" ht="15.75" thickBot="1" x14ac:dyDescent="0.25">
      <c r="A49" s="197"/>
      <c r="B49" s="198"/>
      <c r="C49" s="198"/>
      <c r="D49" s="198"/>
      <c r="E49" s="199"/>
      <c r="F49" s="199"/>
      <c r="G49" s="386" t="s">
        <v>133</v>
      </c>
      <c r="H49" s="386"/>
      <c r="I49" s="387"/>
      <c r="J49" s="293">
        <f>CEILING(J46-'SUB-AWARD'!C40,25000)</f>
        <v>0</v>
      </c>
      <c r="K49" s="413"/>
      <c r="L49" s="414"/>
      <c r="M49" s="415"/>
      <c r="N49" s="293">
        <f>CEILING(N46-'SUB-AWARD'!D40,25000)</f>
        <v>0</v>
      </c>
      <c r="O49" s="413"/>
      <c r="P49" s="414"/>
      <c r="Q49" s="415"/>
      <c r="R49" s="293">
        <f>CEILING(R46-'SUB-AWARD'!E40,25000)</f>
        <v>0</v>
      </c>
      <c r="S49" s="413"/>
      <c r="T49" s="414"/>
      <c r="U49" s="415"/>
      <c r="V49" s="293">
        <f>CEILING(V46-'SUB-AWARD'!F40,25000)</f>
        <v>0</v>
      </c>
      <c r="W49" s="413"/>
      <c r="X49" s="414"/>
      <c r="Y49" s="415"/>
      <c r="Z49" s="293">
        <f>CEILING(Z46-'SUB-AWARD'!G40,25000)</f>
        <v>0</v>
      </c>
      <c r="AA49" s="292">
        <f>J49+N49+R49+V49+Z49</f>
        <v>0</v>
      </c>
    </row>
    <row r="50" spans="1:27" ht="16.5" thickBot="1" x14ac:dyDescent="0.25">
      <c r="A50" s="39"/>
      <c r="B50" s="40"/>
      <c r="C50" s="40"/>
      <c r="D50" s="40"/>
      <c r="E50" s="40"/>
      <c r="F50" s="40"/>
      <c r="G50" s="374" t="s">
        <v>63</v>
      </c>
      <c r="H50" s="374"/>
      <c r="I50" s="41"/>
      <c r="J50" s="294">
        <f>J46+J48</f>
        <v>0</v>
      </c>
      <c r="K50" s="404"/>
      <c r="L50" s="405"/>
      <c r="M50" s="406"/>
      <c r="N50" s="294">
        <f>N46+N48</f>
        <v>0</v>
      </c>
      <c r="O50" s="404"/>
      <c r="P50" s="405"/>
      <c r="Q50" s="406"/>
      <c r="R50" s="294">
        <f>R46+R48</f>
        <v>0</v>
      </c>
      <c r="S50" s="404"/>
      <c r="T50" s="405"/>
      <c r="U50" s="406"/>
      <c r="V50" s="294">
        <f>V46+V48</f>
        <v>0</v>
      </c>
      <c r="W50" s="404"/>
      <c r="X50" s="405"/>
      <c r="Y50" s="406"/>
      <c r="Z50" s="294">
        <f>Z46+Z48</f>
        <v>0</v>
      </c>
      <c r="AA50" s="294">
        <f>AA46+AA48</f>
        <v>0</v>
      </c>
    </row>
  </sheetData>
  <mergeCells count="117">
    <mergeCell ref="O33:Q33"/>
    <mergeCell ref="O34:Q34"/>
    <mergeCell ref="O35:Q35"/>
    <mergeCell ref="K35:M35"/>
    <mergeCell ref="K32:M32"/>
    <mergeCell ref="K33:M33"/>
    <mergeCell ref="T7:V7"/>
    <mergeCell ref="X7:Z7"/>
    <mergeCell ref="S26:U26"/>
    <mergeCell ref="S25:U25"/>
    <mergeCell ref="W25:Y25"/>
    <mergeCell ref="W31:Y31"/>
    <mergeCell ref="W32:Y32"/>
    <mergeCell ref="W33:Y33"/>
    <mergeCell ref="W34:Y34"/>
    <mergeCell ref="W35:Y35"/>
    <mergeCell ref="W26:Y26"/>
    <mergeCell ref="W27:Y27"/>
    <mergeCell ref="W28:Y28"/>
    <mergeCell ref="W29:Y29"/>
    <mergeCell ref="W30:Y30"/>
    <mergeCell ref="B32:I32"/>
    <mergeCell ref="B33:I33"/>
    <mergeCell ref="B27:I27"/>
    <mergeCell ref="B30:I30"/>
    <mergeCell ref="B31:I31"/>
    <mergeCell ref="B29:I29"/>
    <mergeCell ref="S31:U31"/>
    <mergeCell ref="S32:U32"/>
    <mergeCell ref="S33:U33"/>
    <mergeCell ref="S27:U27"/>
    <mergeCell ref="S28:U28"/>
    <mergeCell ref="S29:U29"/>
    <mergeCell ref="S30:U30"/>
    <mergeCell ref="O27:Q27"/>
    <mergeCell ref="O28:Q28"/>
    <mergeCell ref="O29:Q29"/>
    <mergeCell ref="O30:Q30"/>
    <mergeCell ref="O31:Q31"/>
    <mergeCell ref="O32:Q32"/>
    <mergeCell ref="K27:M27"/>
    <mergeCell ref="K28:M28"/>
    <mergeCell ref="K29:M29"/>
    <mergeCell ref="K30:M30"/>
    <mergeCell ref="K31:M31"/>
    <mergeCell ref="W50:Y50"/>
    <mergeCell ref="K50:M50"/>
    <mergeCell ref="O50:Q50"/>
    <mergeCell ref="S50:U50"/>
    <mergeCell ref="K46:M49"/>
    <mergeCell ref="O46:Q49"/>
    <mergeCell ref="S46:U49"/>
    <mergeCell ref="W46:Y49"/>
    <mergeCell ref="K42:M42"/>
    <mergeCell ref="K36:M36"/>
    <mergeCell ref="S34:U34"/>
    <mergeCell ref="S35:U35"/>
    <mergeCell ref="S36:U36"/>
    <mergeCell ref="O36:Q36"/>
    <mergeCell ref="W42:Y42"/>
    <mergeCell ref="S42:U42"/>
    <mergeCell ref="O42:Q42"/>
    <mergeCell ref="O37:Q41"/>
    <mergeCell ref="S37:U41"/>
    <mergeCell ref="W37:Y41"/>
    <mergeCell ref="W36:Y36"/>
    <mergeCell ref="K37:M41"/>
    <mergeCell ref="K34:M34"/>
    <mergeCell ref="G50:H50"/>
    <mergeCell ref="A46:I46"/>
    <mergeCell ref="B35:I35"/>
    <mergeCell ref="G47:H47"/>
    <mergeCell ref="G48:H48"/>
    <mergeCell ref="G40:H40"/>
    <mergeCell ref="G42:H42"/>
    <mergeCell ref="G39:H39"/>
    <mergeCell ref="G49:I49"/>
    <mergeCell ref="E41:H41"/>
    <mergeCell ref="B36:I36"/>
    <mergeCell ref="L3:M3"/>
    <mergeCell ref="N3:P3"/>
    <mergeCell ref="Q3:R3"/>
    <mergeCell ref="L7:N7"/>
    <mergeCell ref="P7:R7"/>
    <mergeCell ref="B26:I26"/>
    <mergeCell ref="B8:C8"/>
    <mergeCell ref="B9:C9"/>
    <mergeCell ref="B10:C10"/>
    <mergeCell ref="B11:C11"/>
    <mergeCell ref="B12:C12"/>
    <mergeCell ref="B13:C13"/>
    <mergeCell ref="B14:C14"/>
    <mergeCell ref="B15:C15"/>
    <mergeCell ref="B16:C16"/>
    <mergeCell ref="B17:C17"/>
    <mergeCell ref="B18:C18"/>
    <mergeCell ref="O26:Q26"/>
    <mergeCell ref="K26:M26"/>
    <mergeCell ref="F4:G4"/>
    <mergeCell ref="K25:M25"/>
    <mergeCell ref="L4:M4"/>
    <mergeCell ref="O25:Q25"/>
    <mergeCell ref="A2:J2"/>
    <mergeCell ref="B25:I25"/>
    <mergeCell ref="D6:E6"/>
    <mergeCell ref="D5:E5"/>
    <mergeCell ref="H7:J7"/>
    <mergeCell ref="B19:C19"/>
    <mergeCell ref="B20:C20"/>
    <mergeCell ref="B21:C21"/>
    <mergeCell ref="B22:C22"/>
    <mergeCell ref="B23:C23"/>
    <mergeCell ref="B3:G3"/>
    <mergeCell ref="F5:G5"/>
    <mergeCell ref="B4:C4"/>
    <mergeCell ref="D4:E4"/>
    <mergeCell ref="H3:I3"/>
  </mergeCells>
  <dataValidations count="1">
    <dataValidation type="list" allowBlank="1" showInputMessage="1" showErrorMessage="1" sqref="F4:G4" xr:uid="{00000000-0002-0000-0100-000000000000}">
      <formula1>"Federal, Non-Federal"</formula1>
    </dataValidation>
  </dataValidations>
  <printOptions horizontalCentered="1"/>
  <pageMargins left="0.5" right="0.5" top="0.75" bottom="0.75" header="0.3" footer="0.3"/>
  <pageSetup scale="6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AF44"/>
  <sheetViews>
    <sheetView zoomScale="90" zoomScaleNormal="90" workbookViewId="0">
      <selection activeCell="E18" sqref="E18"/>
    </sheetView>
  </sheetViews>
  <sheetFormatPr defaultColWidth="9.33203125" defaultRowHeight="15.75" x14ac:dyDescent="0.2"/>
  <cols>
    <col min="1" max="1" width="35.83203125" style="96" customWidth="1"/>
    <col min="2" max="2" width="14.1640625" style="172" customWidth="1"/>
    <col min="3" max="3" width="18.1640625" style="172" customWidth="1"/>
    <col min="4" max="4" width="12.5" style="172" customWidth="1"/>
    <col min="5" max="5" width="12.6640625" style="172" customWidth="1"/>
    <col min="6" max="6" width="15.6640625" style="172" customWidth="1"/>
    <col min="7" max="7" width="18.33203125" style="172" hidden="1" customWidth="1"/>
    <col min="8" max="8" width="16.1640625" style="172" customWidth="1"/>
    <col min="9" max="9" width="15.5" style="172" customWidth="1"/>
    <col min="10" max="10" width="10.5" style="172" customWidth="1"/>
    <col min="11" max="11" width="0.1640625" style="172" customWidth="1"/>
    <col min="12" max="12" width="17.1640625" style="172" customWidth="1"/>
    <col min="13" max="13" width="14.6640625" style="172" customWidth="1"/>
    <col min="14" max="14" width="10.1640625" style="96" customWidth="1"/>
    <col min="15" max="15" width="11.5" style="96" hidden="1" customWidth="1"/>
    <col min="16" max="16" width="16.33203125" style="96" customWidth="1"/>
    <col min="17" max="17" width="16.5" style="96" customWidth="1"/>
    <col min="18" max="18" width="10.33203125" style="96" customWidth="1"/>
    <col min="19" max="19" width="16.33203125" style="96" hidden="1" customWidth="1"/>
    <col min="20" max="20" width="18.33203125" style="96" customWidth="1"/>
    <col min="21" max="21" width="16.5" style="96" customWidth="1"/>
    <col min="22" max="22" width="11" style="96" customWidth="1"/>
    <col min="23" max="23" width="16.83203125" style="96" hidden="1" customWidth="1"/>
    <col min="24" max="24" width="16" style="96" customWidth="1"/>
    <col min="25" max="25" width="15" style="96" customWidth="1"/>
    <col min="26" max="16384" width="9.33203125" style="96"/>
  </cols>
  <sheetData>
    <row r="1" spans="1:32" ht="29.25" customHeight="1" thickBot="1" x14ac:dyDescent="0.25">
      <c r="A1" s="427" t="s">
        <v>59</v>
      </c>
      <c r="B1" s="428"/>
      <c r="C1" s="428"/>
      <c r="D1" s="428"/>
      <c r="E1" s="428"/>
      <c r="F1" s="428"/>
      <c r="G1" s="428"/>
      <c r="H1" s="125"/>
      <c r="I1" s="125"/>
      <c r="J1" s="126"/>
      <c r="K1" s="126"/>
      <c r="L1" s="126"/>
      <c r="M1" s="126"/>
      <c r="N1" s="125"/>
      <c r="O1" s="125"/>
      <c r="P1" s="125"/>
      <c r="Q1" s="125"/>
      <c r="R1" s="125"/>
      <c r="S1" s="125"/>
      <c r="T1" s="125"/>
      <c r="U1" s="125"/>
      <c r="V1" s="125"/>
      <c r="W1" s="125"/>
      <c r="X1" s="125"/>
      <c r="Y1" s="125"/>
    </row>
    <row r="2" spans="1:32" ht="29.25" customHeight="1" thickBot="1" x14ac:dyDescent="0.25">
      <c r="A2" s="127" t="s">
        <v>28</v>
      </c>
      <c r="B2" s="128"/>
      <c r="C2" s="425" t="s">
        <v>31</v>
      </c>
      <c r="D2" s="426"/>
      <c r="E2" s="423" t="s">
        <v>32</v>
      </c>
      <c r="F2" s="424"/>
      <c r="G2" s="129" t="s">
        <v>33</v>
      </c>
      <c r="H2" s="129" t="s">
        <v>33</v>
      </c>
      <c r="I2" s="202"/>
      <c r="J2" s="126"/>
      <c r="K2" s="126"/>
      <c r="L2" s="126"/>
      <c r="M2" s="126"/>
      <c r="N2" s="125"/>
      <c r="O2" s="125"/>
      <c r="P2" s="125"/>
      <c r="Q2" s="125"/>
      <c r="R2" s="125"/>
      <c r="S2" s="125"/>
      <c r="T2" s="125"/>
      <c r="U2" s="125"/>
      <c r="V2" s="125"/>
      <c r="W2" s="125"/>
      <c r="X2" s="125"/>
      <c r="Y2" s="125"/>
    </row>
    <row r="3" spans="1:32" ht="29.25" customHeight="1" thickBot="1" x14ac:dyDescent="0.25">
      <c r="A3" s="130" t="s">
        <v>29</v>
      </c>
      <c r="B3" s="131"/>
      <c r="C3" s="132" t="s">
        <v>29</v>
      </c>
      <c r="D3" s="131"/>
      <c r="E3" s="134" t="s">
        <v>29</v>
      </c>
      <c r="F3" s="133"/>
      <c r="G3" s="134">
        <v>7.6499999999999999E-2</v>
      </c>
      <c r="H3" s="134"/>
      <c r="I3" s="144"/>
      <c r="J3" s="126"/>
      <c r="K3" s="126"/>
      <c r="L3" s="126"/>
      <c r="M3" s="126"/>
      <c r="N3" s="125"/>
      <c r="O3" s="125"/>
      <c r="P3" s="125"/>
      <c r="Q3" s="125"/>
      <c r="R3" s="125"/>
      <c r="S3" s="125"/>
      <c r="T3" s="125"/>
      <c r="U3" s="125"/>
      <c r="V3" s="125"/>
      <c r="W3" s="125"/>
      <c r="X3" s="125"/>
      <c r="Y3" s="125"/>
    </row>
    <row r="4" spans="1:32" ht="36" customHeight="1" thickBot="1" x14ac:dyDescent="0.25">
      <c r="A4" s="135" t="s">
        <v>101</v>
      </c>
      <c r="B4" s="136"/>
      <c r="C4" s="137" t="s">
        <v>30</v>
      </c>
      <c r="D4" s="136"/>
      <c r="E4" s="136" t="s">
        <v>102</v>
      </c>
      <c r="F4" s="138"/>
      <c r="G4" s="139">
        <v>7.6499999999999999E-2</v>
      </c>
      <c r="H4" s="139"/>
      <c r="I4" s="144"/>
      <c r="J4" s="140"/>
      <c r="K4" s="140"/>
      <c r="L4" s="140"/>
      <c r="M4" s="140"/>
      <c r="N4" s="125"/>
      <c r="O4" s="125"/>
      <c r="P4" s="125"/>
      <c r="Q4" s="125"/>
      <c r="R4" s="141"/>
      <c r="S4" s="141"/>
      <c r="T4" s="141"/>
      <c r="U4" s="141"/>
      <c r="V4" s="141"/>
      <c r="W4" s="141"/>
      <c r="X4" s="141"/>
      <c r="Y4" s="141"/>
      <c r="Z4" s="142"/>
      <c r="AA4" s="142"/>
      <c r="AB4" s="142"/>
      <c r="AC4" s="142"/>
      <c r="AD4" s="143"/>
    </row>
    <row r="5" spans="1:32" ht="54" customHeight="1" thickBot="1" x14ac:dyDescent="0.25">
      <c r="A5" s="211" t="s">
        <v>61</v>
      </c>
      <c r="B5" s="125"/>
      <c r="C5" s="125"/>
      <c r="D5" s="125"/>
      <c r="E5" s="125"/>
      <c r="F5" s="125"/>
      <c r="G5" s="125"/>
      <c r="H5" s="125"/>
      <c r="I5" s="125"/>
      <c r="J5" s="144"/>
      <c r="K5" s="144"/>
      <c r="L5" s="144"/>
      <c r="M5" s="144"/>
      <c r="N5" s="125"/>
      <c r="O5" s="125"/>
      <c r="P5" s="125"/>
      <c r="Q5" s="125"/>
      <c r="R5" s="141"/>
      <c r="S5" s="141"/>
      <c r="T5" s="141"/>
      <c r="U5" s="141"/>
      <c r="V5" s="141"/>
      <c r="W5" s="141"/>
      <c r="X5" s="141"/>
      <c r="Y5" s="141"/>
      <c r="Z5" s="142"/>
      <c r="AA5" s="142"/>
      <c r="AB5" s="142"/>
      <c r="AC5" s="142"/>
      <c r="AD5" s="143"/>
    </row>
    <row r="6" spans="1:32" ht="36" customHeight="1" x14ac:dyDescent="0.2">
      <c r="A6" s="145" t="s">
        <v>42</v>
      </c>
      <c r="B6" s="212">
        <v>44531</v>
      </c>
      <c r="C6" s="146" t="s">
        <v>43</v>
      </c>
      <c r="D6" s="147">
        <f>DATEDIF(B6,B8,"ym")</f>
        <v>9</v>
      </c>
      <c r="E6" s="126"/>
      <c r="F6" s="148" t="s">
        <v>98</v>
      </c>
      <c r="G6" s="149">
        <f>H7</f>
        <v>1</v>
      </c>
      <c r="H6" s="213">
        <v>1</v>
      </c>
      <c r="I6" s="126"/>
      <c r="J6" s="126"/>
      <c r="K6" s="144"/>
      <c r="L6" s="144"/>
      <c r="M6" s="144"/>
      <c r="N6" s="125"/>
      <c r="O6" s="125"/>
      <c r="P6" s="125"/>
      <c r="Q6" s="125"/>
      <c r="R6" s="125"/>
      <c r="S6" s="125"/>
      <c r="T6" s="125"/>
      <c r="U6" s="125"/>
      <c r="V6" s="125"/>
      <c r="W6" s="125"/>
      <c r="X6" s="125"/>
      <c r="Y6" s="125"/>
    </row>
    <row r="7" spans="1:32" ht="36" customHeight="1" x14ac:dyDescent="0.2">
      <c r="A7" s="150" t="s">
        <v>126</v>
      </c>
      <c r="B7" s="212">
        <v>44440</v>
      </c>
      <c r="C7" s="151"/>
      <c r="D7" s="152">
        <f>12-D6</f>
        <v>3</v>
      </c>
      <c r="E7" s="126"/>
      <c r="F7" s="148" t="s">
        <v>97</v>
      </c>
      <c r="G7" s="149">
        <f>H7</f>
        <v>1</v>
      </c>
      <c r="H7" s="213">
        <v>1</v>
      </c>
      <c r="I7" s="126"/>
      <c r="J7" s="126"/>
      <c r="K7" s="144"/>
      <c r="L7" s="144"/>
      <c r="M7" s="144"/>
      <c r="N7" s="125"/>
      <c r="O7" s="125"/>
      <c r="P7" s="125"/>
      <c r="Q7" s="125"/>
      <c r="R7" s="125"/>
      <c r="S7" s="125"/>
      <c r="T7" s="125"/>
      <c r="U7" s="125"/>
      <c r="V7" s="125"/>
      <c r="W7" s="125"/>
      <c r="X7" s="125"/>
      <c r="Y7" s="125"/>
      <c r="AF7" s="118"/>
    </row>
    <row r="8" spans="1:32" ht="36" customHeight="1" x14ac:dyDescent="0.2">
      <c r="A8" s="150" t="s">
        <v>146</v>
      </c>
      <c r="B8" s="212">
        <v>44805</v>
      </c>
      <c r="C8" s="295"/>
      <c r="D8" s="153"/>
      <c r="E8" s="153"/>
      <c r="F8" s="154" t="s">
        <v>60</v>
      </c>
      <c r="G8" s="155">
        <f>H8</f>
        <v>199300</v>
      </c>
      <c r="H8" s="214">
        <v>199300</v>
      </c>
      <c r="I8" s="126"/>
      <c r="J8" s="126"/>
      <c r="K8" s="156"/>
      <c r="L8" s="144"/>
      <c r="M8" s="144"/>
      <c r="N8" s="125"/>
      <c r="O8" s="125"/>
      <c r="P8" s="125"/>
      <c r="Q8" s="125"/>
      <c r="R8" s="125"/>
      <c r="S8" s="125"/>
      <c r="T8" s="125"/>
      <c r="U8" s="125"/>
      <c r="V8" s="125"/>
      <c r="W8" s="125"/>
      <c r="X8" s="125"/>
      <c r="Y8" s="125"/>
    </row>
    <row r="9" spans="1:32" ht="49.5" customHeight="1" x14ac:dyDescent="0.25">
      <c r="A9" s="157" t="s">
        <v>117</v>
      </c>
      <c r="B9" s="421" t="s">
        <v>0</v>
      </c>
      <c r="C9" s="422"/>
      <c r="D9" s="158" t="s">
        <v>27</v>
      </c>
      <c r="E9" s="159" t="s">
        <v>115</v>
      </c>
      <c r="F9" s="160" t="s">
        <v>85</v>
      </c>
      <c r="G9" s="161" t="s">
        <v>103</v>
      </c>
      <c r="H9" s="218" t="s">
        <v>105</v>
      </c>
      <c r="I9" s="219" t="s">
        <v>141</v>
      </c>
      <c r="J9" s="163" t="s">
        <v>93</v>
      </c>
      <c r="K9" s="164" t="s">
        <v>104</v>
      </c>
      <c r="L9" s="161" t="s">
        <v>106</v>
      </c>
      <c r="M9" s="165" t="s">
        <v>142</v>
      </c>
      <c r="N9" s="220" t="s">
        <v>94</v>
      </c>
      <c r="O9" s="218" t="s">
        <v>107</v>
      </c>
      <c r="P9" s="218" t="s">
        <v>108</v>
      </c>
      <c r="Q9" s="219" t="s">
        <v>111</v>
      </c>
      <c r="R9" s="163" t="s">
        <v>95</v>
      </c>
      <c r="S9" s="161" t="s">
        <v>109</v>
      </c>
      <c r="T9" s="166" t="s">
        <v>110</v>
      </c>
      <c r="U9" s="162" t="s">
        <v>143</v>
      </c>
      <c r="V9" s="221" t="s">
        <v>96</v>
      </c>
      <c r="W9" s="218" t="s">
        <v>113</v>
      </c>
      <c r="X9" s="218" t="s">
        <v>112</v>
      </c>
      <c r="Y9" s="222" t="s">
        <v>144</v>
      </c>
    </row>
    <row r="10" spans="1:32" ht="31.5" customHeight="1" x14ac:dyDescent="0.25">
      <c r="A10" s="215"/>
      <c r="B10" s="429" t="s">
        <v>149</v>
      </c>
      <c r="C10" s="430"/>
      <c r="D10" s="216">
        <f>D3</f>
        <v>0</v>
      </c>
      <c r="E10" s="216">
        <v>0</v>
      </c>
      <c r="F10" s="217">
        <v>0</v>
      </c>
      <c r="G10" s="167">
        <f t="shared" ref="G10" si="0">(F10*$G$6/12*$D$6)+(F10*1.06/12*$D$7)</f>
        <v>0</v>
      </c>
      <c r="H10" s="203">
        <f>IF(G10&gt;=$G$8,$G$8,IF(G10&lt;$G$8,G10))</f>
        <v>0</v>
      </c>
      <c r="I10" s="207">
        <f>H10*E10</f>
        <v>0</v>
      </c>
      <c r="J10" s="195">
        <f>E10</f>
        <v>0</v>
      </c>
      <c r="K10" s="123">
        <f>G10*$H$7</f>
        <v>0</v>
      </c>
      <c r="L10" s="196">
        <f>IF(K10&gt;=$G$8,$G$8,IF(K10&lt;$G$8,K10))</f>
        <v>0</v>
      </c>
      <c r="M10" s="208">
        <f>L10*J10</f>
        <v>0</v>
      </c>
      <c r="N10" s="204">
        <f>J10</f>
        <v>0</v>
      </c>
      <c r="O10" s="205">
        <f>K10*$H$7</f>
        <v>0</v>
      </c>
      <c r="P10" s="203">
        <f>IF(O10&gt;=$G$8,$G$8,IF(O10&lt;$G$8,O10))</f>
        <v>0</v>
      </c>
      <c r="Q10" s="209">
        <f>P10*N10</f>
        <v>0</v>
      </c>
      <c r="R10" s="195">
        <f>N10</f>
        <v>0</v>
      </c>
      <c r="S10" s="123">
        <f>O10*$H$7</f>
        <v>0</v>
      </c>
      <c r="T10" s="196">
        <f>IF(S10&gt;=$G$8,$G$8,IF(S10&lt;$G$8,S10))</f>
        <v>0</v>
      </c>
      <c r="U10" s="210">
        <f>T10*R10</f>
        <v>0</v>
      </c>
      <c r="V10" s="206">
        <f>R10</f>
        <v>0</v>
      </c>
      <c r="W10" s="205">
        <f>S10*$H$7</f>
        <v>0</v>
      </c>
      <c r="X10" s="203">
        <f>IF(W10&gt;=$G$8,$G$8,IF(W10&lt;$G$8,W10))</f>
        <v>0</v>
      </c>
      <c r="Y10" s="209">
        <f>X10*V10</f>
        <v>0</v>
      </c>
    </row>
    <row r="11" spans="1:32" ht="27" customHeight="1" x14ac:dyDescent="0.25">
      <c r="A11" s="215"/>
      <c r="B11" s="419"/>
      <c r="C11" s="419"/>
      <c r="D11" s="216">
        <f>B3</f>
        <v>0</v>
      </c>
      <c r="E11" s="216">
        <v>0</v>
      </c>
      <c r="F11" s="217">
        <v>0</v>
      </c>
      <c r="G11" s="167">
        <f>(F11*$G$6/12*$D$6)+(F11*1.06/12*$D$7)</f>
        <v>0</v>
      </c>
      <c r="H11" s="203">
        <f>IF(G11&gt;=$G$8,$G$8,IF(G11&lt;$G$8,G11))</f>
        <v>0</v>
      </c>
      <c r="I11" s="207">
        <f>H11*E11</f>
        <v>0</v>
      </c>
      <c r="J11" s="195">
        <f t="shared" ref="J11:J24" si="1">E11</f>
        <v>0</v>
      </c>
      <c r="K11" s="123">
        <f t="shared" ref="K11:K24" si="2">G11*$H$7</f>
        <v>0</v>
      </c>
      <c r="L11" s="196">
        <f t="shared" ref="L11:L24" si="3">IF(K11&gt;=$G$8,$G$8,IF(K11&lt;$G$8,K11))</f>
        <v>0</v>
      </c>
      <c r="M11" s="208">
        <f t="shared" ref="M11:M24" si="4">L11*J11</f>
        <v>0</v>
      </c>
      <c r="N11" s="206">
        <f t="shared" ref="N11:N24" si="5">J11</f>
        <v>0</v>
      </c>
      <c r="O11" s="205">
        <f t="shared" ref="O11:O24" si="6">K11*$H$7</f>
        <v>0</v>
      </c>
      <c r="P11" s="203">
        <f t="shared" ref="P11:P24" si="7">IF(O11&gt;=$G$8,$G$8,IF(O11&lt;$G$8,O11))</f>
        <v>0</v>
      </c>
      <c r="Q11" s="209">
        <f t="shared" ref="Q11:Q24" si="8">P11*N11</f>
        <v>0</v>
      </c>
      <c r="R11" s="195">
        <f t="shared" ref="R11:R24" si="9">N11</f>
        <v>0</v>
      </c>
      <c r="S11" s="123">
        <f t="shared" ref="S11:S24" si="10">O11*$H$7</f>
        <v>0</v>
      </c>
      <c r="T11" s="196">
        <f t="shared" ref="T11:T24" si="11">IF(S11&gt;=$G$8,$G$8,IF(S11&lt;$G$8,S11))</f>
        <v>0</v>
      </c>
      <c r="U11" s="210">
        <f t="shared" ref="U11:U24" si="12">T11*R11</f>
        <v>0</v>
      </c>
      <c r="V11" s="206">
        <f t="shared" ref="V11:V24" si="13">R11</f>
        <v>0</v>
      </c>
      <c r="W11" s="205">
        <f t="shared" ref="W11:W24" si="14">S11*$H$7</f>
        <v>0</v>
      </c>
      <c r="X11" s="203">
        <f t="shared" ref="X11:X24" si="15">IF(W11&gt;=$G$8,$G$8,IF(W11&lt;$G$8,W11))</f>
        <v>0</v>
      </c>
      <c r="Y11" s="209">
        <f t="shared" ref="Y11:Y24" si="16">X11*V11</f>
        <v>0</v>
      </c>
      <c r="Z11" s="95"/>
      <c r="AA11" s="95"/>
    </row>
    <row r="12" spans="1:32" ht="27" customHeight="1" x14ac:dyDescent="0.25">
      <c r="A12" s="215"/>
      <c r="B12" s="419"/>
      <c r="C12" s="419"/>
      <c r="D12" s="216">
        <f>B3</f>
        <v>0</v>
      </c>
      <c r="E12" s="216">
        <v>0</v>
      </c>
      <c r="F12" s="217">
        <v>0</v>
      </c>
      <c r="G12" s="167">
        <f t="shared" ref="G12:G17" si="17">(F12*$G$6/12*$D$6)+(F12*1.06/12*$D$7)</f>
        <v>0</v>
      </c>
      <c r="H12" s="203">
        <f t="shared" ref="H12:H24" si="18">IF(G12&gt;=$G$8,$G$8,IF(G12&lt;$G$8,G12))</f>
        <v>0</v>
      </c>
      <c r="I12" s="207">
        <f t="shared" ref="I12:I17" si="19">H12*E12</f>
        <v>0</v>
      </c>
      <c r="J12" s="195">
        <f t="shared" si="1"/>
        <v>0</v>
      </c>
      <c r="K12" s="123">
        <f t="shared" si="2"/>
        <v>0</v>
      </c>
      <c r="L12" s="196">
        <f t="shared" si="3"/>
        <v>0</v>
      </c>
      <c r="M12" s="208">
        <f t="shared" si="4"/>
        <v>0</v>
      </c>
      <c r="N12" s="206">
        <f t="shared" si="5"/>
        <v>0</v>
      </c>
      <c r="O12" s="205">
        <f t="shared" si="6"/>
        <v>0</v>
      </c>
      <c r="P12" s="203">
        <f t="shared" si="7"/>
        <v>0</v>
      </c>
      <c r="Q12" s="209">
        <f t="shared" si="8"/>
        <v>0</v>
      </c>
      <c r="R12" s="195">
        <f t="shared" si="9"/>
        <v>0</v>
      </c>
      <c r="S12" s="123">
        <f t="shared" si="10"/>
        <v>0</v>
      </c>
      <c r="T12" s="196">
        <f t="shared" si="11"/>
        <v>0</v>
      </c>
      <c r="U12" s="210">
        <f t="shared" si="12"/>
        <v>0</v>
      </c>
      <c r="V12" s="206">
        <f t="shared" si="13"/>
        <v>0</v>
      </c>
      <c r="W12" s="205">
        <f t="shared" si="14"/>
        <v>0</v>
      </c>
      <c r="X12" s="203">
        <f t="shared" si="15"/>
        <v>0</v>
      </c>
      <c r="Y12" s="209">
        <f t="shared" si="16"/>
        <v>0</v>
      </c>
      <c r="Z12" s="95"/>
      <c r="AA12" s="95"/>
    </row>
    <row r="13" spans="1:32" ht="27" customHeight="1" x14ac:dyDescent="0.25">
      <c r="A13" s="215"/>
      <c r="B13" s="419"/>
      <c r="C13" s="419"/>
      <c r="D13" s="216">
        <f>B3</f>
        <v>0</v>
      </c>
      <c r="E13" s="216">
        <v>0</v>
      </c>
      <c r="F13" s="217">
        <v>0</v>
      </c>
      <c r="G13" s="167">
        <f t="shared" si="17"/>
        <v>0</v>
      </c>
      <c r="H13" s="203">
        <f t="shared" si="18"/>
        <v>0</v>
      </c>
      <c r="I13" s="207">
        <f t="shared" si="19"/>
        <v>0</v>
      </c>
      <c r="J13" s="195">
        <f t="shared" si="1"/>
        <v>0</v>
      </c>
      <c r="K13" s="123">
        <f t="shared" si="2"/>
        <v>0</v>
      </c>
      <c r="L13" s="196">
        <f t="shared" si="3"/>
        <v>0</v>
      </c>
      <c r="M13" s="208">
        <f t="shared" si="4"/>
        <v>0</v>
      </c>
      <c r="N13" s="206">
        <f t="shared" si="5"/>
        <v>0</v>
      </c>
      <c r="O13" s="205">
        <f t="shared" si="6"/>
        <v>0</v>
      </c>
      <c r="P13" s="203">
        <f t="shared" si="7"/>
        <v>0</v>
      </c>
      <c r="Q13" s="209">
        <f t="shared" si="8"/>
        <v>0</v>
      </c>
      <c r="R13" s="195">
        <f t="shared" si="9"/>
        <v>0</v>
      </c>
      <c r="S13" s="123">
        <f t="shared" si="10"/>
        <v>0</v>
      </c>
      <c r="T13" s="196">
        <f t="shared" si="11"/>
        <v>0</v>
      </c>
      <c r="U13" s="210">
        <f t="shared" si="12"/>
        <v>0</v>
      </c>
      <c r="V13" s="206">
        <f t="shared" si="13"/>
        <v>0</v>
      </c>
      <c r="W13" s="205">
        <f t="shared" si="14"/>
        <v>0</v>
      </c>
      <c r="X13" s="203">
        <f t="shared" si="15"/>
        <v>0</v>
      </c>
      <c r="Y13" s="209">
        <f t="shared" si="16"/>
        <v>0</v>
      </c>
      <c r="Z13" s="95"/>
      <c r="AA13" s="95"/>
    </row>
    <row r="14" spans="1:32" ht="27" customHeight="1" x14ac:dyDescent="0.25">
      <c r="A14" s="215"/>
      <c r="B14" s="419"/>
      <c r="C14" s="419"/>
      <c r="D14" s="216">
        <f>B3</f>
        <v>0</v>
      </c>
      <c r="E14" s="216">
        <v>0</v>
      </c>
      <c r="F14" s="217">
        <v>0</v>
      </c>
      <c r="G14" s="167">
        <f t="shared" si="17"/>
        <v>0</v>
      </c>
      <c r="H14" s="203">
        <f t="shared" si="18"/>
        <v>0</v>
      </c>
      <c r="I14" s="207">
        <f t="shared" si="19"/>
        <v>0</v>
      </c>
      <c r="J14" s="195">
        <f t="shared" si="1"/>
        <v>0</v>
      </c>
      <c r="K14" s="123">
        <f t="shared" si="2"/>
        <v>0</v>
      </c>
      <c r="L14" s="196">
        <f t="shared" si="3"/>
        <v>0</v>
      </c>
      <c r="M14" s="208">
        <f t="shared" si="4"/>
        <v>0</v>
      </c>
      <c r="N14" s="206">
        <f t="shared" si="5"/>
        <v>0</v>
      </c>
      <c r="O14" s="205">
        <f t="shared" si="6"/>
        <v>0</v>
      </c>
      <c r="P14" s="203">
        <f t="shared" si="7"/>
        <v>0</v>
      </c>
      <c r="Q14" s="209">
        <f t="shared" si="8"/>
        <v>0</v>
      </c>
      <c r="R14" s="195">
        <f t="shared" si="9"/>
        <v>0</v>
      </c>
      <c r="S14" s="123">
        <f t="shared" si="10"/>
        <v>0</v>
      </c>
      <c r="T14" s="196">
        <f t="shared" si="11"/>
        <v>0</v>
      </c>
      <c r="U14" s="210">
        <f t="shared" si="12"/>
        <v>0</v>
      </c>
      <c r="V14" s="206">
        <f t="shared" si="13"/>
        <v>0</v>
      </c>
      <c r="W14" s="205">
        <f t="shared" si="14"/>
        <v>0</v>
      </c>
      <c r="X14" s="203">
        <f t="shared" si="15"/>
        <v>0</v>
      </c>
      <c r="Y14" s="209">
        <f t="shared" si="16"/>
        <v>0</v>
      </c>
      <c r="Z14" s="95"/>
      <c r="AA14" s="95"/>
    </row>
    <row r="15" spans="1:32" ht="27" customHeight="1" x14ac:dyDescent="0.25">
      <c r="A15" s="215"/>
      <c r="B15" s="419"/>
      <c r="C15" s="419"/>
      <c r="D15" s="216">
        <v>0</v>
      </c>
      <c r="E15" s="216">
        <v>0</v>
      </c>
      <c r="F15" s="217">
        <v>0</v>
      </c>
      <c r="G15" s="167">
        <f t="shared" si="17"/>
        <v>0</v>
      </c>
      <c r="H15" s="203">
        <f t="shared" si="18"/>
        <v>0</v>
      </c>
      <c r="I15" s="207">
        <f t="shared" si="19"/>
        <v>0</v>
      </c>
      <c r="J15" s="195">
        <v>0</v>
      </c>
      <c r="K15" s="123">
        <f t="shared" si="2"/>
        <v>0</v>
      </c>
      <c r="L15" s="196">
        <f t="shared" si="3"/>
        <v>0</v>
      </c>
      <c r="M15" s="208">
        <f t="shared" si="4"/>
        <v>0</v>
      </c>
      <c r="N15" s="206">
        <v>0.5</v>
      </c>
      <c r="O15" s="205">
        <f t="shared" si="6"/>
        <v>0</v>
      </c>
      <c r="P15" s="203">
        <f t="shared" si="7"/>
        <v>0</v>
      </c>
      <c r="Q15" s="209">
        <f t="shared" si="8"/>
        <v>0</v>
      </c>
      <c r="R15" s="195">
        <f t="shared" si="9"/>
        <v>0.5</v>
      </c>
      <c r="S15" s="123">
        <f t="shared" si="10"/>
        <v>0</v>
      </c>
      <c r="T15" s="196">
        <f t="shared" si="11"/>
        <v>0</v>
      </c>
      <c r="U15" s="210">
        <f t="shared" si="12"/>
        <v>0</v>
      </c>
      <c r="V15" s="206">
        <v>0.5</v>
      </c>
      <c r="W15" s="205">
        <f t="shared" si="14"/>
        <v>0</v>
      </c>
      <c r="X15" s="203">
        <f t="shared" si="15"/>
        <v>0</v>
      </c>
      <c r="Y15" s="209">
        <f>X15*V15</f>
        <v>0</v>
      </c>
      <c r="Z15" s="95"/>
      <c r="AA15" s="95"/>
    </row>
    <row r="16" spans="1:32" ht="27" customHeight="1" x14ac:dyDescent="0.25">
      <c r="A16" s="215"/>
      <c r="B16" s="419"/>
      <c r="C16" s="419"/>
      <c r="D16" s="216">
        <f>B3</f>
        <v>0</v>
      </c>
      <c r="E16" s="216">
        <v>0</v>
      </c>
      <c r="F16" s="217">
        <v>0</v>
      </c>
      <c r="G16" s="167">
        <f t="shared" si="17"/>
        <v>0</v>
      </c>
      <c r="H16" s="203">
        <f t="shared" si="18"/>
        <v>0</v>
      </c>
      <c r="I16" s="207">
        <f t="shared" si="19"/>
        <v>0</v>
      </c>
      <c r="J16" s="195">
        <f t="shared" si="1"/>
        <v>0</v>
      </c>
      <c r="K16" s="123">
        <f t="shared" si="2"/>
        <v>0</v>
      </c>
      <c r="L16" s="196">
        <f t="shared" si="3"/>
        <v>0</v>
      </c>
      <c r="M16" s="208">
        <f t="shared" si="4"/>
        <v>0</v>
      </c>
      <c r="N16" s="206">
        <f t="shared" si="5"/>
        <v>0</v>
      </c>
      <c r="O16" s="205">
        <f t="shared" si="6"/>
        <v>0</v>
      </c>
      <c r="P16" s="203">
        <f t="shared" si="7"/>
        <v>0</v>
      </c>
      <c r="Q16" s="209">
        <f t="shared" si="8"/>
        <v>0</v>
      </c>
      <c r="R16" s="195">
        <f t="shared" si="9"/>
        <v>0</v>
      </c>
      <c r="S16" s="123">
        <f t="shared" si="10"/>
        <v>0</v>
      </c>
      <c r="T16" s="196">
        <f t="shared" si="11"/>
        <v>0</v>
      </c>
      <c r="U16" s="210">
        <f t="shared" si="12"/>
        <v>0</v>
      </c>
      <c r="V16" s="206">
        <f t="shared" si="13"/>
        <v>0</v>
      </c>
      <c r="W16" s="205">
        <f t="shared" si="14"/>
        <v>0</v>
      </c>
      <c r="X16" s="203">
        <f t="shared" si="15"/>
        <v>0</v>
      </c>
      <c r="Y16" s="209">
        <f t="shared" si="16"/>
        <v>0</v>
      </c>
      <c r="Z16" s="95"/>
      <c r="AA16" s="95"/>
    </row>
    <row r="17" spans="1:27" ht="27" customHeight="1" x14ac:dyDescent="0.25">
      <c r="A17" s="215"/>
      <c r="B17" s="419"/>
      <c r="C17" s="419"/>
      <c r="D17" s="216">
        <f>B3</f>
        <v>0</v>
      </c>
      <c r="E17" s="216">
        <v>0</v>
      </c>
      <c r="F17" s="217">
        <v>0</v>
      </c>
      <c r="G17" s="167">
        <f t="shared" si="17"/>
        <v>0</v>
      </c>
      <c r="H17" s="203">
        <f t="shared" si="18"/>
        <v>0</v>
      </c>
      <c r="I17" s="207">
        <f t="shared" si="19"/>
        <v>0</v>
      </c>
      <c r="J17" s="195">
        <f t="shared" si="1"/>
        <v>0</v>
      </c>
      <c r="K17" s="123">
        <f t="shared" si="2"/>
        <v>0</v>
      </c>
      <c r="L17" s="196">
        <f t="shared" si="3"/>
        <v>0</v>
      </c>
      <c r="M17" s="208">
        <f t="shared" si="4"/>
        <v>0</v>
      </c>
      <c r="N17" s="206">
        <f t="shared" si="5"/>
        <v>0</v>
      </c>
      <c r="O17" s="205">
        <f t="shared" si="6"/>
        <v>0</v>
      </c>
      <c r="P17" s="203">
        <f t="shared" si="7"/>
        <v>0</v>
      </c>
      <c r="Q17" s="209">
        <f t="shared" si="8"/>
        <v>0</v>
      </c>
      <c r="R17" s="195">
        <f t="shared" si="9"/>
        <v>0</v>
      </c>
      <c r="S17" s="123">
        <f t="shared" si="10"/>
        <v>0</v>
      </c>
      <c r="T17" s="196">
        <f t="shared" si="11"/>
        <v>0</v>
      </c>
      <c r="U17" s="210">
        <f t="shared" si="12"/>
        <v>0</v>
      </c>
      <c r="V17" s="206">
        <f t="shared" si="13"/>
        <v>0</v>
      </c>
      <c r="W17" s="205">
        <f t="shared" si="14"/>
        <v>0</v>
      </c>
      <c r="X17" s="203">
        <f t="shared" si="15"/>
        <v>0</v>
      </c>
      <c r="Y17" s="209">
        <f t="shared" si="16"/>
        <v>0</v>
      </c>
      <c r="Z17" s="95"/>
      <c r="AA17" s="95"/>
    </row>
    <row r="18" spans="1:27" ht="27" customHeight="1" x14ac:dyDescent="0.25">
      <c r="A18" s="215"/>
      <c r="B18" s="419"/>
      <c r="C18" s="419"/>
      <c r="D18" s="216"/>
      <c r="E18" s="216"/>
      <c r="F18" s="217">
        <v>0</v>
      </c>
      <c r="G18" s="167">
        <f t="shared" ref="G18:G24" si="20">(F18*$G$6/12*$D$6)+(F18*$G$7/12*$D$7)</f>
        <v>0</v>
      </c>
      <c r="H18" s="203">
        <f t="shared" si="18"/>
        <v>0</v>
      </c>
      <c r="I18" s="207">
        <f t="shared" ref="I18:I24" si="21">H18*E18</f>
        <v>0</v>
      </c>
      <c r="J18" s="195">
        <f t="shared" si="1"/>
        <v>0</v>
      </c>
      <c r="K18" s="123">
        <f t="shared" si="2"/>
        <v>0</v>
      </c>
      <c r="L18" s="196">
        <f t="shared" si="3"/>
        <v>0</v>
      </c>
      <c r="M18" s="208">
        <f t="shared" si="4"/>
        <v>0</v>
      </c>
      <c r="N18" s="206">
        <f t="shared" si="5"/>
        <v>0</v>
      </c>
      <c r="O18" s="205">
        <f t="shared" si="6"/>
        <v>0</v>
      </c>
      <c r="P18" s="203">
        <f t="shared" si="7"/>
        <v>0</v>
      </c>
      <c r="Q18" s="209">
        <f t="shared" si="8"/>
        <v>0</v>
      </c>
      <c r="R18" s="195">
        <f t="shared" si="9"/>
        <v>0</v>
      </c>
      <c r="S18" s="123">
        <f t="shared" si="10"/>
        <v>0</v>
      </c>
      <c r="T18" s="196">
        <f t="shared" si="11"/>
        <v>0</v>
      </c>
      <c r="U18" s="210">
        <f t="shared" si="12"/>
        <v>0</v>
      </c>
      <c r="V18" s="206">
        <f t="shared" si="13"/>
        <v>0</v>
      </c>
      <c r="W18" s="205">
        <f t="shared" si="14"/>
        <v>0</v>
      </c>
      <c r="X18" s="203">
        <f t="shared" si="15"/>
        <v>0</v>
      </c>
      <c r="Y18" s="209">
        <f t="shared" si="16"/>
        <v>0</v>
      </c>
      <c r="Z18" s="95"/>
      <c r="AA18" s="95"/>
    </row>
    <row r="19" spans="1:27" ht="27" customHeight="1" x14ac:dyDescent="0.25">
      <c r="A19" s="215"/>
      <c r="B19" s="419"/>
      <c r="C19" s="419"/>
      <c r="D19" s="216"/>
      <c r="E19" s="216"/>
      <c r="F19" s="217">
        <v>0</v>
      </c>
      <c r="G19" s="167">
        <f t="shared" si="20"/>
        <v>0</v>
      </c>
      <c r="H19" s="203">
        <f t="shared" si="18"/>
        <v>0</v>
      </c>
      <c r="I19" s="207">
        <f t="shared" si="21"/>
        <v>0</v>
      </c>
      <c r="J19" s="195">
        <f t="shared" si="1"/>
        <v>0</v>
      </c>
      <c r="K19" s="123">
        <f t="shared" si="2"/>
        <v>0</v>
      </c>
      <c r="L19" s="196">
        <f t="shared" si="3"/>
        <v>0</v>
      </c>
      <c r="M19" s="208">
        <f t="shared" si="4"/>
        <v>0</v>
      </c>
      <c r="N19" s="206">
        <f t="shared" si="5"/>
        <v>0</v>
      </c>
      <c r="O19" s="205">
        <f t="shared" si="6"/>
        <v>0</v>
      </c>
      <c r="P19" s="203">
        <f t="shared" si="7"/>
        <v>0</v>
      </c>
      <c r="Q19" s="209">
        <f t="shared" si="8"/>
        <v>0</v>
      </c>
      <c r="R19" s="195">
        <f t="shared" si="9"/>
        <v>0</v>
      </c>
      <c r="S19" s="123">
        <f t="shared" si="10"/>
        <v>0</v>
      </c>
      <c r="T19" s="196">
        <f t="shared" si="11"/>
        <v>0</v>
      </c>
      <c r="U19" s="210">
        <f t="shared" si="12"/>
        <v>0</v>
      </c>
      <c r="V19" s="206">
        <f t="shared" si="13"/>
        <v>0</v>
      </c>
      <c r="W19" s="205">
        <f t="shared" si="14"/>
        <v>0</v>
      </c>
      <c r="X19" s="203">
        <f t="shared" si="15"/>
        <v>0</v>
      </c>
      <c r="Y19" s="209">
        <f t="shared" si="16"/>
        <v>0</v>
      </c>
      <c r="Z19" s="95"/>
      <c r="AA19" s="95"/>
    </row>
    <row r="20" spans="1:27" ht="27" customHeight="1" x14ac:dyDescent="0.25">
      <c r="A20" s="215"/>
      <c r="B20" s="419"/>
      <c r="C20" s="419"/>
      <c r="D20" s="216"/>
      <c r="E20" s="216"/>
      <c r="F20" s="217">
        <v>0</v>
      </c>
      <c r="G20" s="167">
        <f t="shared" si="20"/>
        <v>0</v>
      </c>
      <c r="H20" s="203">
        <f t="shared" si="18"/>
        <v>0</v>
      </c>
      <c r="I20" s="207">
        <f t="shared" si="21"/>
        <v>0</v>
      </c>
      <c r="J20" s="195">
        <f t="shared" si="1"/>
        <v>0</v>
      </c>
      <c r="K20" s="123">
        <f t="shared" si="2"/>
        <v>0</v>
      </c>
      <c r="L20" s="196">
        <f t="shared" si="3"/>
        <v>0</v>
      </c>
      <c r="M20" s="208">
        <f t="shared" si="4"/>
        <v>0</v>
      </c>
      <c r="N20" s="206">
        <f t="shared" si="5"/>
        <v>0</v>
      </c>
      <c r="O20" s="205">
        <f t="shared" si="6"/>
        <v>0</v>
      </c>
      <c r="P20" s="203">
        <f t="shared" si="7"/>
        <v>0</v>
      </c>
      <c r="Q20" s="209">
        <f t="shared" si="8"/>
        <v>0</v>
      </c>
      <c r="R20" s="195">
        <f t="shared" si="9"/>
        <v>0</v>
      </c>
      <c r="S20" s="123">
        <f t="shared" si="10"/>
        <v>0</v>
      </c>
      <c r="T20" s="196">
        <f t="shared" si="11"/>
        <v>0</v>
      </c>
      <c r="U20" s="210">
        <f t="shared" si="12"/>
        <v>0</v>
      </c>
      <c r="V20" s="206">
        <f t="shared" si="13"/>
        <v>0</v>
      </c>
      <c r="W20" s="205">
        <f t="shared" si="14"/>
        <v>0</v>
      </c>
      <c r="X20" s="203">
        <f t="shared" si="15"/>
        <v>0</v>
      </c>
      <c r="Y20" s="209">
        <f t="shared" si="16"/>
        <v>0</v>
      </c>
      <c r="Z20" s="95"/>
      <c r="AA20" s="95"/>
    </row>
    <row r="21" spans="1:27" ht="27" customHeight="1" x14ac:dyDescent="0.25">
      <c r="A21" s="215"/>
      <c r="B21" s="419"/>
      <c r="C21" s="419"/>
      <c r="D21" s="216"/>
      <c r="E21" s="216"/>
      <c r="F21" s="217">
        <v>0</v>
      </c>
      <c r="G21" s="167">
        <f t="shared" si="20"/>
        <v>0</v>
      </c>
      <c r="H21" s="203">
        <f t="shared" si="18"/>
        <v>0</v>
      </c>
      <c r="I21" s="207">
        <f t="shared" si="21"/>
        <v>0</v>
      </c>
      <c r="J21" s="195">
        <f t="shared" si="1"/>
        <v>0</v>
      </c>
      <c r="K21" s="123">
        <f t="shared" si="2"/>
        <v>0</v>
      </c>
      <c r="L21" s="196">
        <f t="shared" si="3"/>
        <v>0</v>
      </c>
      <c r="M21" s="208">
        <f t="shared" si="4"/>
        <v>0</v>
      </c>
      <c r="N21" s="206">
        <f t="shared" si="5"/>
        <v>0</v>
      </c>
      <c r="O21" s="205">
        <f t="shared" si="6"/>
        <v>0</v>
      </c>
      <c r="P21" s="203">
        <f t="shared" si="7"/>
        <v>0</v>
      </c>
      <c r="Q21" s="209">
        <f t="shared" si="8"/>
        <v>0</v>
      </c>
      <c r="R21" s="195">
        <f t="shared" si="9"/>
        <v>0</v>
      </c>
      <c r="S21" s="123">
        <f t="shared" si="10"/>
        <v>0</v>
      </c>
      <c r="T21" s="196">
        <f t="shared" si="11"/>
        <v>0</v>
      </c>
      <c r="U21" s="210">
        <f t="shared" si="12"/>
        <v>0</v>
      </c>
      <c r="V21" s="206">
        <f t="shared" si="13"/>
        <v>0</v>
      </c>
      <c r="W21" s="205">
        <f t="shared" si="14"/>
        <v>0</v>
      </c>
      <c r="X21" s="203">
        <f t="shared" si="15"/>
        <v>0</v>
      </c>
      <c r="Y21" s="209">
        <f t="shared" si="16"/>
        <v>0</v>
      </c>
      <c r="Z21" s="95"/>
      <c r="AA21" s="95"/>
    </row>
    <row r="22" spans="1:27" ht="27" customHeight="1" x14ac:dyDescent="0.25">
      <c r="A22" s="215"/>
      <c r="B22" s="419"/>
      <c r="C22" s="419"/>
      <c r="D22" s="216"/>
      <c r="E22" s="216"/>
      <c r="F22" s="217">
        <v>0</v>
      </c>
      <c r="G22" s="167">
        <f t="shared" si="20"/>
        <v>0</v>
      </c>
      <c r="H22" s="203">
        <f t="shared" si="18"/>
        <v>0</v>
      </c>
      <c r="I22" s="207">
        <f t="shared" si="21"/>
        <v>0</v>
      </c>
      <c r="J22" s="195">
        <f t="shared" si="1"/>
        <v>0</v>
      </c>
      <c r="K22" s="123">
        <f t="shared" si="2"/>
        <v>0</v>
      </c>
      <c r="L22" s="196">
        <f t="shared" si="3"/>
        <v>0</v>
      </c>
      <c r="M22" s="208">
        <f t="shared" si="4"/>
        <v>0</v>
      </c>
      <c r="N22" s="206">
        <f t="shared" si="5"/>
        <v>0</v>
      </c>
      <c r="O22" s="205">
        <f t="shared" si="6"/>
        <v>0</v>
      </c>
      <c r="P22" s="203">
        <f t="shared" si="7"/>
        <v>0</v>
      </c>
      <c r="Q22" s="209">
        <f t="shared" si="8"/>
        <v>0</v>
      </c>
      <c r="R22" s="195">
        <f t="shared" si="9"/>
        <v>0</v>
      </c>
      <c r="S22" s="123">
        <f t="shared" si="10"/>
        <v>0</v>
      </c>
      <c r="T22" s="196">
        <f t="shared" si="11"/>
        <v>0</v>
      </c>
      <c r="U22" s="210">
        <f t="shared" si="12"/>
        <v>0</v>
      </c>
      <c r="V22" s="206">
        <f t="shared" si="13"/>
        <v>0</v>
      </c>
      <c r="W22" s="205">
        <f t="shared" si="14"/>
        <v>0</v>
      </c>
      <c r="X22" s="203">
        <f t="shared" si="15"/>
        <v>0</v>
      </c>
      <c r="Y22" s="209">
        <f t="shared" si="16"/>
        <v>0</v>
      </c>
      <c r="Z22" s="95"/>
      <c r="AA22" s="95"/>
    </row>
    <row r="23" spans="1:27" ht="27" customHeight="1" x14ac:dyDescent="0.25">
      <c r="A23" s="215"/>
      <c r="B23" s="419"/>
      <c r="C23" s="419"/>
      <c r="D23" s="216"/>
      <c r="E23" s="216"/>
      <c r="F23" s="217">
        <v>0</v>
      </c>
      <c r="G23" s="167">
        <f t="shared" si="20"/>
        <v>0</v>
      </c>
      <c r="H23" s="203">
        <f t="shared" si="18"/>
        <v>0</v>
      </c>
      <c r="I23" s="207">
        <f t="shared" si="21"/>
        <v>0</v>
      </c>
      <c r="J23" s="195">
        <f t="shared" si="1"/>
        <v>0</v>
      </c>
      <c r="K23" s="123">
        <f t="shared" si="2"/>
        <v>0</v>
      </c>
      <c r="L23" s="196">
        <f t="shared" si="3"/>
        <v>0</v>
      </c>
      <c r="M23" s="208">
        <f t="shared" si="4"/>
        <v>0</v>
      </c>
      <c r="N23" s="206">
        <f t="shared" si="5"/>
        <v>0</v>
      </c>
      <c r="O23" s="205">
        <f t="shared" si="6"/>
        <v>0</v>
      </c>
      <c r="P23" s="203">
        <f t="shared" si="7"/>
        <v>0</v>
      </c>
      <c r="Q23" s="209">
        <f t="shared" si="8"/>
        <v>0</v>
      </c>
      <c r="R23" s="195">
        <f t="shared" si="9"/>
        <v>0</v>
      </c>
      <c r="S23" s="123">
        <f t="shared" si="10"/>
        <v>0</v>
      </c>
      <c r="T23" s="196">
        <f t="shared" si="11"/>
        <v>0</v>
      </c>
      <c r="U23" s="210">
        <f t="shared" si="12"/>
        <v>0</v>
      </c>
      <c r="V23" s="206">
        <f t="shared" si="13"/>
        <v>0</v>
      </c>
      <c r="W23" s="205">
        <f t="shared" si="14"/>
        <v>0</v>
      </c>
      <c r="X23" s="203">
        <f t="shared" si="15"/>
        <v>0</v>
      </c>
      <c r="Y23" s="209">
        <f t="shared" si="16"/>
        <v>0</v>
      </c>
      <c r="Z23" s="95"/>
      <c r="AA23" s="95"/>
    </row>
    <row r="24" spans="1:27" ht="27" customHeight="1" x14ac:dyDescent="0.25">
      <c r="A24" s="215"/>
      <c r="B24" s="419"/>
      <c r="C24" s="419"/>
      <c r="D24" s="216"/>
      <c r="E24" s="216"/>
      <c r="F24" s="217">
        <v>0</v>
      </c>
      <c r="G24" s="167">
        <f t="shared" si="20"/>
        <v>0</v>
      </c>
      <c r="H24" s="203">
        <f t="shared" si="18"/>
        <v>0</v>
      </c>
      <c r="I24" s="207">
        <f t="shared" si="21"/>
        <v>0</v>
      </c>
      <c r="J24" s="195">
        <f t="shared" si="1"/>
        <v>0</v>
      </c>
      <c r="K24" s="123">
        <f t="shared" si="2"/>
        <v>0</v>
      </c>
      <c r="L24" s="196">
        <f t="shared" si="3"/>
        <v>0</v>
      </c>
      <c r="M24" s="208">
        <f t="shared" si="4"/>
        <v>0</v>
      </c>
      <c r="N24" s="206">
        <f t="shared" si="5"/>
        <v>0</v>
      </c>
      <c r="O24" s="205">
        <f t="shared" si="6"/>
        <v>0</v>
      </c>
      <c r="P24" s="203">
        <f t="shared" si="7"/>
        <v>0</v>
      </c>
      <c r="Q24" s="209">
        <f t="shared" si="8"/>
        <v>0</v>
      </c>
      <c r="R24" s="195">
        <f t="shared" si="9"/>
        <v>0</v>
      </c>
      <c r="S24" s="123">
        <f t="shared" si="10"/>
        <v>0</v>
      </c>
      <c r="T24" s="196">
        <f t="shared" si="11"/>
        <v>0</v>
      </c>
      <c r="U24" s="210">
        <f t="shared" si="12"/>
        <v>0</v>
      </c>
      <c r="V24" s="206">
        <f t="shared" si="13"/>
        <v>0</v>
      </c>
      <c r="W24" s="205">
        <f t="shared" si="14"/>
        <v>0</v>
      </c>
      <c r="X24" s="203">
        <f t="shared" si="15"/>
        <v>0</v>
      </c>
      <c r="Y24" s="209">
        <f t="shared" si="16"/>
        <v>0</v>
      </c>
      <c r="Z24" s="95"/>
      <c r="AA24" s="95"/>
    </row>
    <row r="25" spans="1:27" ht="27" customHeight="1" x14ac:dyDescent="0.2">
      <c r="A25" s="168"/>
      <c r="B25" s="431"/>
      <c r="C25" s="432"/>
      <c r="D25" s="169"/>
      <c r="E25" s="169"/>
      <c r="F25" s="170"/>
      <c r="G25" s="171"/>
      <c r="H25" s="124"/>
      <c r="I25" s="124"/>
      <c r="J25" s="171"/>
      <c r="K25" s="171"/>
      <c r="L25" s="171"/>
      <c r="M25" s="171"/>
      <c r="O25" s="171"/>
      <c r="P25" s="171"/>
      <c r="Q25" s="171"/>
      <c r="R25" s="171"/>
      <c r="S25" s="171"/>
      <c r="T25" s="171"/>
      <c r="U25" s="171"/>
      <c r="V25" s="95"/>
      <c r="W25" s="95"/>
      <c r="X25" s="95"/>
      <c r="Y25" s="95"/>
      <c r="Z25" s="95"/>
      <c r="AA25" s="95"/>
    </row>
    <row r="26" spans="1:27" ht="27" customHeight="1" x14ac:dyDescent="0.2">
      <c r="B26" s="420"/>
      <c r="C26" s="420"/>
      <c r="F26" s="170"/>
      <c r="G26" s="171"/>
      <c r="H26" s="171"/>
      <c r="I26" s="171"/>
      <c r="J26" s="171"/>
      <c r="K26" s="171"/>
      <c r="L26" s="171"/>
      <c r="M26" s="171"/>
      <c r="O26" s="171"/>
      <c r="P26" s="171"/>
      <c r="Q26" s="171"/>
      <c r="R26" s="171"/>
      <c r="S26" s="171"/>
      <c r="T26" s="171"/>
      <c r="U26" s="171"/>
      <c r="V26" s="95"/>
      <c r="W26" s="95"/>
      <c r="X26" s="95"/>
      <c r="Y26" s="95"/>
      <c r="Z26" s="95"/>
      <c r="AA26" s="95"/>
    </row>
    <row r="27" spans="1:27" ht="27" customHeight="1" x14ac:dyDescent="0.2">
      <c r="B27" s="420"/>
      <c r="C27" s="420"/>
      <c r="F27" s="170"/>
      <c r="G27" s="171"/>
      <c r="H27" s="171"/>
      <c r="I27" s="171"/>
      <c r="J27" s="171"/>
      <c r="K27" s="171"/>
      <c r="L27" s="171"/>
      <c r="M27" s="171"/>
      <c r="O27" s="171"/>
      <c r="P27" s="171"/>
      <c r="Q27" s="171"/>
      <c r="R27" s="171"/>
      <c r="S27" s="171"/>
      <c r="T27" s="171"/>
      <c r="U27" s="171"/>
      <c r="V27" s="95"/>
      <c r="W27" s="95"/>
      <c r="X27" s="95"/>
      <c r="Y27" s="95"/>
      <c r="Z27" s="95"/>
      <c r="AA27" s="95"/>
    </row>
    <row r="28" spans="1:27" ht="27" customHeight="1" x14ac:dyDescent="0.2">
      <c r="B28" s="420"/>
      <c r="C28" s="420"/>
      <c r="F28" s="170"/>
      <c r="G28" s="171"/>
      <c r="H28" s="171"/>
      <c r="I28" s="171"/>
      <c r="J28" s="171"/>
      <c r="K28" s="171"/>
      <c r="L28" s="171"/>
      <c r="M28" s="171"/>
      <c r="O28" s="171"/>
      <c r="P28" s="171"/>
      <c r="Q28" s="171"/>
      <c r="R28" s="171"/>
      <c r="S28" s="171"/>
      <c r="T28" s="171"/>
      <c r="U28" s="171"/>
      <c r="V28" s="95"/>
      <c r="W28" s="95"/>
      <c r="X28" s="95"/>
      <c r="Y28" s="95"/>
      <c r="Z28" s="95"/>
      <c r="AA28" s="95"/>
    </row>
    <row r="29" spans="1:27" ht="27" customHeight="1" x14ac:dyDescent="0.2">
      <c r="F29" s="170"/>
      <c r="G29" s="171"/>
      <c r="H29" s="171"/>
      <c r="I29" s="171"/>
      <c r="J29" s="171"/>
      <c r="K29" s="171"/>
      <c r="L29" s="171"/>
      <c r="M29" s="171"/>
      <c r="O29" s="171"/>
      <c r="P29" s="171"/>
      <c r="Q29" s="171"/>
      <c r="R29" s="171"/>
      <c r="S29" s="171"/>
      <c r="T29" s="171"/>
      <c r="U29" s="171"/>
      <c r="V29" s="95"/>
      <c r="W29" s="95"/>
      <c r="X29" s="95"/>
      <c r="Y29" s="95"/>
      <c r="Z29" s="95"/>
      <c r="AA29" s="95"/>
    </row>
    <row r="30" spans="1:27" ht="27" customHeight="1" x14ac:dyDescent="0.2">
      <c r="F30" s="95"/>
      <c r="G30" s="95"/>
      <c r="H30" s="95"/>
      <c r="I30" s="95"/>
      <c r="J30" s="95"/>
      <c r="K30" s="95"/>
      <c r="L30" s="95"/>
      <c r="M30" s="95"/>
      <c r="O30" s="95"/>
      <c r="P30" s="95"/>
      <c r="Q30" s="95"/>
      <c r="R30" s="95"/>
      <c r="S30" s="95"/>
      <c r="T30" s="95"/>
      <c r="U30" s="95"/>
      <c r="V30" s="95"/>
      <c r="W30" s="95"/>
      <c r="X30" s="95"/>
      <c r="Y30" s="95"/>
      <c r="Z30" s="95"/>
      <c r="AA30" s="95"/>
    </row>
    <row r="31" spans="1:27" ht="27" customHeight="1" x14ac:dyDescent="0.2">
      <c r="F31" s="95"/>
      <c r="G31" s="95"/>
      <c r="H31" s="95"/>
      <c r="I31" s="95"/>
      <c r="J31" s="95"/>
      <c r="K31" s="95"/>
      <c r="L31" s="95"/>
      <c r="M31" s="95"/>
      <c r="O31" s="95"/>
      <c r="P31" s="95"/>
      <c r="Q31" s="95"/>
      <c r="R31" s="95"/>
      <c r="S31" s="95"/>
      <c r="T31" s="95"/>
      <c r="U31" s="95"/>
      <c r="V31" s="95"/>
      <c r="W31" s="95"/>
      <c r="X31" s="95"/>
      <c r="Y31" s="95"/>
      <c r="Z31" s="95"/>
      <c r="AA31" s="95"/>
    </row>
    <row r="32" spans="1:27" ht="27" customHeight="1" x14ac:dyDescent="0.2">
      <c r="G32" s="95"/>
      <c r="H32" s="95"/>
      <c r="I32" s="95"/>
      <c r="J32" s="95"/>
      <c r="K32" s="95"/>
      <c r="L32" s="95"/>
      <c r="M32" s="95"/>
      <c r="O32" s="173"/>
      <c r="P32" s="173"/>
      <c r="Q32" s="173"/>
      <c r="R32" s="173"/>
      <c r="S32" s="173"/>
      <c r="T32" s="173"/>
      <c r="U32" s="173"/>
    </row>
    <row r="33" spans="7:21" ht="27" customHeight="1" x14ac:dyDescent="0.2">
      <c r="G33" s="95"/>
      <c r="H33" s="95"/>
      <c r="I33" s="95"/>
      <c r="J33" s="95"/>
      <c r="K33" s="95"/>
      <c r="L33" s="95"/>
      <c r="M33" s="95"/>
      <c r="O33" s="173"/>
      <c r="P33" s="173"/>
      <c r="Q33" s="173"/>
      <c r="R33" s="173"/>
      <c r="S33" s="173"/>
      <c r="T33" s="173"/>
      <c r="U33" s="173"/>
    </row>
    <row r="34" spans="7:21" ht="27" customHeight="1" x14ac:dyDescent="0.2"/>
    <row r="35" spans="7:21" ht="27" customHeight="1" x14ac:dyDescent="0.2"/>
    <row r="36" spans="7:21" ht="27" customHeight="1" x14ac:dyDescent="0.2"/>
    <row r="37" spans="7:21" ht="27" customHeight="1" x14ac:dyDescent="0.2"/>
    <row r="38" spans="7:21" ht="27" customHeight="1" x14ac:dyDescent="0.2"/>
    <row r="39" spans="7:21" ht="27" customHeight="1" x14ac:dyDescent="0.2"/>
    <row r="40" spans="7:21" ht="27" customHeight="1" x14ac:dyDescent="0.2"/>
    <row r="41" spans="7:21" ht="27" customHeight="1" x14ac:dyDescent="0.2"/>
    <row r="42" spans="7:21" ht="27" customHeight="1" x14ac:dyDescent="0.2"/>
    <row r="43" spans="7:21" ht="27" customHeight="1" x14ac:dyDescent="0.2"/>
    <row r="44" spans="7:21" ht="27" customHeight="1" x14ac:dyDescent="0.2"/>
  </sheetData>
  <mergeCells count="23">
    <mergeCell ref="E2:F2"/>
    <mergeCell ref="C2:D2"/>
    <mergeCell ref="A1:G1"/>
    <mergeCell ref="B28:C28"/>
    <mergeCell ref="B10:C10"/>
    <mergeCell ref="B12:C12"/>
    <mergeCell ref="B14:C14"/>
    <mergeCell ref="B16:C16"/>
    <mergeCell ref="B20:C20"/>
    <mergeCell ref="B21:C21"/>
    <mergeCell ref="B22:C22"/>
    <mergeCell ref="B23:C23"/>
    <mergeCell ref="B24:C24"/>
    <mergeCell ref="B25:C25"/>
    <mergeCell ref="B11:C11"/>
    <mergeCell ref="B13:C13"/>
    <mergeCell ref="B15:C15"/>
    <mergeCell ref="B18:C18"/>
    <mergeCell ref="B26:C26"/>
    <mergeCell ref="B27:C27"/>
    <mergeCell ref="B9:C9"/>
    <mergeCell ref="B17:C17"/>
    <mergeCell ref="B19:C19"/>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G24"/>
  <sheetViews>
    <sheetView workbookViewId="0">
      <selection activeCell="E6" sqref="E6"/>
    </sheetView>
  </sheetViews>
  <sheetFormatPr defaultRowHeight="12.75" x14ac:dyDescent="0.2"/>
  <cols>
    <col min="1" max="1" width="36.6640625" customWidth="1"/>
    <col min="2" max="7" width="17.83203125" customWidth="1"/>
  </cols>
  <sheetData>
    <row r="1" spans="1:7" ht="21.95" customHeight="1" thickBot="1" x14ac:dyDescent="0.25">
      <c r="A1" s="51" t="s">
        <v>74</v>
      </c>
      <c r="B1" s="52"/>
      <c r="C1" s="53"/>
      <c r="D1" s="52"/>
      <c r="E1" s="52"/>
      <c r="F1" s="52"/>
    </row>
    <row r="2" spans="1:7" ht="35.25" customHeight="1" thickBot="1" x14ac:dyDescent="0.25">
      <c r="A2" s="54" t="s">
        <v>10</v>
      </c>
      <c r="B2" s="55" t="s">
        <v>68</v>
      </c>
      <c r="C2" s="56" t="s">
        <v>69</v>
      </c>
      <c r="D2" s="57" t="s">
        <v>70</v>
      </c>
      <c r="E2" s="58" t="s">
        <v>71</v>
      </c>
      <c r="F2" s="58" t="s">
        <v>72</v>
      </c>
      <c r="G2" s="57" t="s">
        <v>73</v>
      </c>
    </row>
    <row r="3" spans="1:7" ht="21.95" customHeight="1" x14ac:dyDescent="0.2">
      <c r="A3" s="42" t="s">
        <v>67</v>
      </c>
      <c r="B3" s="44"/>
      <c r="C3" s="48"/>
      <c r="D3" s="46"/>
      <c r="E3" s="48"/>
      <c r="F3" s="46"/>
      <c r="G3" s="48">
        <f>SUM(B3:F3)</f>
        <v>0</v>
      </c>
    </row>
    <row r="4" spans="1:7" ht="21.95" customHeight="1" x14ac:dyDescent="0.2">
      <c r="A4" s="43" t="s">
        <v>67</v>
      </c>
      <c r="B4" s="45"/>
      <c r="C4" s="45"/>
      <c r="D4" s="46"/>
      <c r="E4" s="49"/>
      <c r="F4" s="46"/>
      <c r="G4" s="49">
        <f t="shared" ref="G4:G11" si="0">SUM(B4:F4)</f>
        <v>0</v>
      </c>
    </row>
    <row r="5" spans="1:7" ht="21.95" customHeight="1" x14ac:dyDescent="0.2">
      <c r="A5" s="43" t="s">
        <v>75</v>
      </c>
      <c r="B5" s="45"/>
      <c r="C5" s="45"/>
      <c r="D5" s="46"/>
      <c r="E5" s="49"/>
      <c r="F5" s="46"/>
      <c r="G5" s="49">
        <f t="shared" si="0"/>
        <v>0</v>
      </c>
    </row>
    <row r="6" spans="1:7" ht="21.95" customHeight="1" x14ac:dyDescent="0.2">
      <c r="A6" s="43" t="s">
        <v>67</v>
      </c>
      <c r="B6" s="45"/>
      <c r="C6" s="45"/>
      <c r="D6" s="46"/>
      <c r="E6" s="49"/>
      <c r="F6" s="46"/>
      <c r="G6" s="49">
        <f t="shared" si="0"/>
        <v>0</v>
      </c>
    </row>
    <row r="7" spans="1:7" ht="21.95" customHeight="1" x14ac:dyDescent="0.2">
      <c r="A7" s="43" t="s">
        <v>67</v>
      </c>
      <c r="B7" s="45"/>
      <c r="C7" s="45"/>
      <c r="D7" s="46"/>
      <c r="E7" s="49"/>
      <c r="F7" s="46"/>
      <c r="G7" s="49">
        <f t="shared" si="0"/>
        <v>0</v>
      </c>
    </row>
    <row r="8" spans="1:7" ht="21.95" customHeight="1" x14ac:dyDescent="0.2">
      <c r="A8" s="43" t="s">
        <v>67</v>
      </c>
      <c r="B8" s="45"/>
      <c r="C8" s="45"/>
      <c r="D8" s="46"/>
      <c r="E8" s="49"/>
      <c r="F8" s="46"/>
      <c r="G8" s="49">
        <f t="shared" si="0"/>
        <v>0</v>
      </c>
    </row>
    <row r="9" spans="1:7" ht="21.95" customHeight="1" x14ac:dyDescent="0.2">
      <c r="A9" s="43" t="s">
        <v>67</v>
      </c>
      <c r="B9" s="45"/>
      <c r="C9" s="45"/>
      <c r="D9" s="46"/>
      <c r="E9" s="49"/>
      <c r="F9" s="46"/>
      <c r="G9" s="49">
        <f t="shared" si="0"/>
        <v>0</v>
      </c>
    </row>
    <row r="10" spans="1:7" ht="21.95" customHeight="1" x14ac:dyDescent="0.2">
      <c r="A10" s="43" t="s">
        <v>67</v>
      </c>
      <c r="B10" s="45"/>
      <c r="C10" s="45"/>
      <c r="D10" s="46"/>
      <c r="E10" s="49"/>
      <c r="F10" s="46"/>
      <c r="G10" s="49">
        <f t="shared" si="0"/>
        <v>0</v>
      </c>
    </row>
    <row r="11" spans="1:7" ht="21.95" customHeight="1" thickBot="1" x14ac:dyDescent="0.25">
      <c r="A11" s="43" t="s">
        <v>67</v>
      </c>
      <c r="B11" s="47"/>
      <c r="C11" s="47"/>
      <c r="D11" s="46"/>
      <c r="E11" s="47"/>
      <c r="F11" s="46"/>
      <c r="G11" s="50">
        <f t="shared" si="0"/>
        <v>0</v>
      </c>
    </row>
    <row r="12" spans="1:7" ht="21.95" customHeight="1" thickBot="1" x14ac:dyDescent="0.25">
      <c r="A12" s="59" t="s">
        <v>2</v>
      </c>
      <c r="B12" s="60">
        <f>SUM(B3:B11)</f>
        <v>0</v>
      </c>
      <c r="C12" s="60">
        <f t="shared" ref="C12:G12" si="1">SUM(C3:C11)</f>
        <v>0</v>
      </c>
      <c r="D12" s="61">
        <f t="shared" si="1"/>
        <v>0</v>
      </c>
      <c r="E12" s="61">
        <f t="shared" si="1"/>
        <v>0</v>
      </c>
      <c r="F12" s="61">
        <f t="shared" si="1"/>
        <v>0</v>
      </c>
      <c r="G12" s="62">
        <f t="shared" si="1"/>
        <v>0</v>
      </c>
    </row>
    <row r="13" spans="1:7" ht="21.95" customHeight="1" x14ac:dyDescent="0.2"/>
    <row r="14" spans="1:7" ht="21.95" customHeight="1" x14ac:dyDescent="0.2"/>
    <row r="15" spans="1:7" ht="21.95" customHeight="1" x14ac:dyDescent="0.2"/>
    <row r="16" spans="1:7" ht="21.95" customHeight="1" x14ac:dyDescent="0.2"/>
    <row r="17" ht="21.95" customHeight="1" x14ac:dyDescent="0.2"/>
    <row r="18" ht="21.95" customHeight="1" x14ac:dyDescent="0.2"/>
    <row r="19" ht="21.95" customHeight="1" x14ac:dyDescent="0.2"/>
    <row r="20" ht="21.95" customHeight="1" x14ac:dyDescent="0.2"/>
    <row r="21" ht="21.95" customHeight="1" x14ac:dyDescent="0.2"/>
    <row r="22" ht="21.95" customHeight="1" x14ac:dyDescent="0.2"/>
    <row r="23" ht="21.95" customHeight="1" x14ac:dyDescent="0.2"/>
    <row r="24" ht="21.9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G24"/>
  <sheetViews>
    <sheetView workbookViewId="0">
      <selection activeCell="C16" sqref="C16"/>
    </sheetView>
  </sheetViews>
  <sheetFormatPr defaultRowHeight="12.75" x14ac:dyDescent="0.2"/>
  <cols>
    <col min="1" max="1" width="35.1640625" customWidth="1"/>
    <col min="2" max="7" width="17.83203125" customWidth="1"/>
  </cols>
  <sheetData>
    <row r="1" spans="1:7" ht="21.95" customHeight="1" thickBot="1" x14ac:dyDescent="0.25">
      <c r="A1" s="51" t="s">
        <v>89</v>
      </c>
      <c r="B1" s="52"/>
      <c r="C1" s="53"/>
      <c r="D1" s="52"/>
      <c r="E1" s="52"/>
      <c r="F1" s="52"/>
    </row>
    <row r="2" spans="1:7" ht="35.25" customHeight="1" thickBot="1" x14ac:dyDescent="0.25">
      <c r="A2" s="54" t="s">
        <v>10</v>
      </c>
      <c r="B2" s="55" t="s">
        <v>68</v>
      </c>
      <c r="C2" s="56" t="s">
        <v>69</v>
      </c>
      <c r="D2" s="57" t="s">
        <v>70</v>
      </c>
      <c r="E2" s="58" t="s">
        <v>71</v>
      </c>
      <c r="F2" s="58" t="s">
        <v>72</v>
      </c>
      <c r="G2" s="57" t="s">
        <v>73</v>
      </c>
    </row>
    <row r="3" spans="1:7" ht="21.95" customHeight="1" x14ac:dyDescent="0.2">
      <c r="A3" s="42" t="s">
        <v>150</v>
      </c>
      <c r="B3" s="44">
        <v>44297</v>
      </c>
      <c r="C3" s="48">
        <v>39998</v>
      </c>
      <c r="D3" s="46">
        <v>12026</v>
      </c>
      <c r="E3" s="48">
        <v>6588</v>
      </c>
      <c r="F3" s="46">
        <v>952</v>
      </c>
      <c r="G3" s="48">
        <f>SUM(B3:F3)</f>
        <v>103861</v>
      </c>
    </row>
    <row r="4" spans="1:7" ht="21.95" customHeight="1" x14ac:dyDescent="0.2">
      <c r="A4" s="43" t="s">
        <v>67</v>
      </c>
      <c r="B4" s="45"/>
      <c r="C4" s="45">
        <f t="shared" ref="C4:F11" si="0">B4*1.03</f>
        <v>0</v>
      </c>
      <c r="D4" s="46">
        <f t="shared" si="0"/>
        <v>0</v>
      </c>
      <c r="E4" s="49">
        <f t="shared" si="0"/>
        <v>0</v>
      </c>
      <c r="F4" s="46">
        <f t="shared" si="0"/>
        <v>0</v>
      </c>
      <c r="G4" s="49">
        <f t="shared" ref="G4:G11" si="1">SUM(B4:F4)</f>
        <v>0</v>
      </c>
    </row>
    <row r="5" spans="1:7" ht="21.95" customHeight="1" x14ac:dyDescent="0.2">
      <c r="A5" s="43" t="s">
        <v>67</v>
      </c>
      <c r="B5" s="45"/>
      <c r="C5" s="45">
        <f t="shared" si="0"/>
        <v>0</v>
      </c>
      <c r="D5" s="46">
        <f t="shared" si="0"/>
        <v>0</v>
      </c>
      <c r="E5" s="49">
        <f t="shared" si="0"/>
        <v>0</v>
      </c>
      <c r="F5" s="46">
        <f t="shared" si="0"/>
        <v>0</v>
      </c>
      <c r="G5" s="49">
        <f t="shared" si="1"/>
        <v>0</v>
      </c>
    </row>
    <row r="6" spans="1:7" ht="21.95" customHeight="1" x14ac:dyDescent="0.2">
      <c r="A6" s="43" t="s">
        <v>67</v>
      </c>
      <c r="B6" s="45"/>
      <c r="C6" s="45">
        <f t="shared" si="0"/>
        <v>0</v>
      </c>
      <c r="D6" s="46">
        <f t="shared" si="0"/>
        <v>0</v>
      </c>
      <c r="E6" s="49">
        <f t="shared" si="0"/>
        <v>0</v>
      </c>
      <c r="F6" s="46">
        <f t="shared" si="0"/>
        <v>0</v>
      </c>
      <c r="G6" s="49">
        <f t="shared" si="1"/>
        <v>0</v>
      </c>
    </row>
    <row r="7" spans="1:7" ht="21.95" customHeight="1" x14ac:dyDescent="0.2">
      <c r="A7" s="43" t="s">
        <v>67</v>
      </c>
      <c r="B7" s="45"/>
      <c r="C7" s="45">
        <f t="shared" si="0"/>
        <v>0</v>
      </c>
      <c r="D7" s="46">
        <f t="shared" si="0"/>
        <v>0</v>
      </c>
      <c r="E7" s="49">
        <f t="shared" si="0"/>
        <v>0</v>
      </c>
      <c r="F7" s="46">
        <f t="shared" si="0"/>
        <v>0</v>
      </c>
      <c r="G7" s="49">
        <f t="shared" si="1"/>
        <v>0</v>
      </c>
    </row>
    <row r="8" spans="1:7" ht="21.95" customHeight="1" x14ac:dyDescent="0.2">
      <c r="A8" s="43" t="s">
        <v>67</v>
      </c>
      <c r="B8" s="45"/>
      <c r="C8" s="45">
        <f t="shared" si="0"/>
        <v>0</v>
      </c>
      <c r="D8" s="46">
        <f t="shared" si="0"/>
        <v>0</v>
      </c>
      <c r="E8" s="49">
        <f t="shared" si="0"/>
        <v>0</v>
      </c>
      <c r="F8" s="46">
        <f t="shared" si="0"/>
        <v>0</v>
      </c>
      <c r="G8" s="49">
        <f t="shared" si="1"/>
        <v>0</v>
      </c>
    </row>
    <row r="9" spans="1:7" ht="21.95" customHeight="1" x14ac:dyDescent="0.2">
      <c r="A9" s="43" t="s">
        <v>67</v>
      </c>
      <c r="B9" s="45"/>
      <c r="C9" s="45">
        <f t="shared" si="0"/>
        <v>0</v>
      </c>
      <c r="D9" s="46">
        <f t="shared" si="0"/>
        <v>0</v>
      </c>
      <c r="E9" s="49">
        <f t="shared" si="0"/>
        <v>0</v>
      </c>
      <c r="F9" s="46">
        <f t="shared" si="0"/>
        <v>0</v>
      </c>
      <c r="G9" s="49">
        <f t="shared" si="1"/>
        <v>0</v>
      </c>
    </row>
    <row r="10" spans="1:7" ht="21.95" customHeight="1" x14ac:dyDescent="0.2">
      <c r="A10" s="43" t="s">
        <v>67</v>
      </c>
      <c r="B10" s="45"/>
      <c r="C10" s="45">
        <f t="shared" si="0"/>
        <v>0</v>
      </c>
      <c r="D10" s="46">
        <f t="shared" si="0"/>
        <v>0</v>
      </c>
      <c r="E10" s="49">
        <f t="shared" si="0"/>
        <v>0</v>
      </c>
      <c r="F10" s="46">
        <f t="shared" si="0"/>
        <v>0</v>
      </c>
      <c r="G10" s="49">
        <f t="shared" si="1"/>
        <v>0</v>
      </c>
    </row>
    <row r="11" spans="1:7" ht="21.95" customHeight="1" thickBot="1" x14ac:dyDescent="0.25">
      <c r="A11" s="43" t="s">
        <v>67</v>
      </c>
      <c r="B11" s="47"/>
      <c r="C11" s="47">
        <f t="shared" si="0"/>
        <v>0</v>
      </c>
      <c r="D11" s="46">
        <f t="shared" si="0"/>
        <v>0</v>
      </c>
      <c r="E11" s="47"/>
      <c r="F11" s="46">
        <f t="shared" si="0"/>
        <v>0</v>
      </c>
      <c r="G11" s="50">
        <f t="shared" si="1"/>
        <v>0</v>
      </c>
    </row>
    <row r="12" spans="1:7" ht="21.95" customHeight="1" thickBot="1" x14ac:dyDescent="0.25">
      <c r="A12" s="59" t="s">
        <v>2</v>
      </c>
      <c r="B12" s="60">
        <f>SUM(B3:B11)</f>
        <v>44297</v>
      </c>
      <c r="C12" s="60">
        <f t="shared" ref="C12:G12" si="2">SUM(C3:C11)</f>
        <v>39998</v>
      </c>
      <c r="D12" s="61">
        <f t="shared" si="2"/>
        <v>12026</v>
      </c>
      <c r="E12" s="61">
        <f t="shared" si="2"/>
        <v>6588</v>
      </c>
      <c r="F12" s="61">
        <f t="shared" si="2"/>
        <v>952</v>
      </c>
      <c r="G12" s="62">
        <f t="shared" si="2"/>
        <v>103861</v>
      </c>
    </row>
    <row r="13" spans="1:7" ht="21.95" customHeight="1" x14ac:dyDescent="0.2"/>
    <row r="14" spans="1:7" ht="21.95" customHeight="1" x14ac:dyDescent="0.2"/>
    <row r="15" spans="1:7" ht="21.95" customHeight="1" x14ac:dyDescent="0.2"/>
    <row r="16" spans="1:7" ht="21.95" customHeight="1" x14ac:dyDescent="0.2"/>
    <row r="17" ht="21.95" customHeight="1" x14ac:dyDescent="0.2"/>
    <row r="18" ht="21.95" customHeight="1" x14ac:dyDescent="0.2"/>
    <row r="19" ht="21.95" customHeight="1" x14ac:dyDescent="0.2"/>
    <row r="20" ht="21.95" customHeight="1" x14ac:dyDescent="0.2"/>
    <row r="21" ht="21.95" customHeight="1" x14ac:dyDescent="0.2"/>
    <row r="22" ht="21.95" customHeight="1" x14ac:dyDescent="0.2"/>
    <row r="23" ht="21.95" customHeight="1" x14ac:dyDescent="0.2"/>
    <row r="24" ht="21.95" customHeigh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B1:J24"/>
  <sheetViews>
    <sheetView workbookViewId="0">
      <selection activeCell="F15" sqref="F15"/>
    </sheetView>
  </sheetViews>
  <sheetFormatPr defaultRowHeight="12.75" x14ac:dyDescent="0.2"/>
  <cols>
    <col min="1" max="1" width="0.1640625" customWidth="1"/>
    <col min="2" max="2" width="35.1640625" customWidth="1"/>
    <col min="3" max="3" width="12.6640625" customWidth="1"/>
    <col min="4" max="4" width="10.33203125" customWidth="1"/>
    <col min="5" max="10" width="17.83203125" customWidth="1"/>
  </cols>
  <sheetData>
    <row r="1" spans="2:10" ht="21.95" customHeight="1" thickBot="1" x14ac:dyDescent="0.25">
      <c r="B1" s="51" t="s">
        <v>99</v>
      </c>
      <c r="C1" s="52"/>
      <c r="D1" s="52"/>
      <c r="E1" s="52"/>
      <c r="F1" s="53"/>
      <c r="G1" s="52"/>
      <c r="H1" s="52"/>
      <c r="I1" s="52"/>
    </row>
    <row r="2" spans="2:10" ht="48.75" customHeight="1" thickBot="1" x14ac:dyDescent="0.25">
      <c r="B2" s="54" t="s">
        <v>10</v>
      </c>
      <c r="C2" s="183" t="s">
        <v>121</v>
      </c>
      <c r="D2" s="58" t="s">
        <v>127</v>
      </c>
      <c r="E2" s="55" t="s">
        <v>68</v>
      </c>
      <c r="F2" s="56" t="s">
        <v>69</v>
      </c>
      <c r="G2" s="57" t="s">
        <v>70</v>
      </c>
      <c r="H2" s="58" t="s">
        <v>71</v>
      </c>
      <c r="I2" s="58" t="s">
        <v>72</v>
      </c>
      <c r="J2" s="57" t="s">
        <v>73</v>
      </c>
    </row>
    <row r="3" spans="2:10" ht="21.95" customHeight="1" x14ac:dyDescent="0.2">
      <c r="B3" s="42" t="s">
        <v>67</v>
      </c>
      <c r="C3" s="192">
        <v>0</v>
      </c>
      <c r="D3" s="42"/>
      <c r="E3" s="186">
        <f>C3*D3</f>
        <v>0</v>
      </c>
      <c r="F3" s="186">
        <f>E3*1.03</f>
        <v>0</v>
      </c>
      <c r="G3" s="187">
        <f t="shared" ref="G3:I3" si="0">F3*1.03</f>
        <v>0</v>
      </c>
      <c r="H3" s="186">
        <f t="shared" si="0"/>
        <v>0</v>
      </c>
      <c r="I3" s="187">
        <f t="shared" si="0"/>
        <v>0</v>
      </c>
      <c r="J3" s="186">
        <f>SUM(E3:I3)</f>
        <v>0</v>
      </c>
    </row>
    <row r="4" spans="2:10" ht="21.95" customHeight="1" x14ac:dyDescent="0.2">
      <c r="B4" s="43" t="s">
        <v>67</v>
      </c>
      <c r="C4" s="193">
        <v>0</v>
      </c>
      <c r="D4" s="43"/>
      <c r="E4" s="188">
        <f t="shared" ref="E4:E11" si="1">C4*D4</f>
        <v>0</v>
      </c>
      <c r="F4" s="188">
        <f t="shared" ref="F4:I11" si="2">E4*1.03</f>
        <v>0</v>
      </c>
      <c r="G4" s="187">
        <f t="shared" si="2"/>
        <v>0</v>
      </c>
      <c r="H4" s="188">
        <f t="shared" si="2"/>
        <v>0</v>
      </c>
      <c r="I4" s="187">
        <f t="shared" si="2"/>
        <v>0</v>
      </c>
      <c r="J4" s="188">
        <f t="shared" ref="J4:J11" si="3">SUM(E4:I4)</f>
        <v>0</v>
      </c>
    </row>
    <row r="5" spans="2:10" ht="21.95" customHeight="1" x14ac:dyDescent="0.2">
      <c r="B5" s="43" t="s">
        <v>67</v>
      </c>
      <c r="C5" s="193">
        <v>0</v>
      </c>
      <c r="D5" s="43"/>
      <c r="E5" s="188">
        <f t="shared" si="1"/>
        <v>0</v>
      </c>
      <c r="F5" s="188">
        <f t="shared" si="2"/>
        <v>0</v>
      </c>
      <c r="G5" s="187">
        <f t="shared" si="2"/>
        <v>0</v>
      </c>
      <c r="H5" s="188">
        <f t="shared" si="2"/>
        <v>0</v>
      </c>
      <c r="I5" s="187">
        <f t="shared" si="2"/>
        <v>0</v>
      </c>
      <c r="J5" s="188">
        <f t="shared" si="3"/>
        <v>0</v>
      </c>
    </row>
    <row r="6" spans="2:10" ht="21.95" customHeight="1" x14ac:dyDescent="0.2">
      <c r="B6" s="43" t="s">
        <v>67</v>
      </c>
      <c r="C6" s="193">
        <v>0</v>
      </c>
      <c r="D6" s="43"/>
      <c r="E6" s="188">
        <f t="shared" si="1"/>
        <v>0</v>
      </c>
      <c r="F6" s="188">
        <f t="shared" si="2"/>
        <v>0</v>
      </c>
      <c r="G6" s="187">
        <f t="shared" si="2"/>
        <v>0</v>
      </c>
      <c r="H6" s="188">
        <f t="shared" si="2"/>
        <v>0</v>
      </c>
      <c r="I6" s="187">
        <f t="shared" si="2"/>
        <v>0</v>
      </c>
      <c r="J6" s="188">
        <f t="shared" si="3"/>
        <v>0</v>
      </c>
    </row>
    <row r="7" spans="2:10" ht="21.95" customHeight="1" x14ac:dyDescent="0.2">
      <c r="B7" s="43" t="s">
        <v>67</v>
      </c>
      <c r="C7" s="193">
        <v>0</v>
      </c>
      <c r="D7" s="43"/>
      <c r="E7" s="188">
        <f t="shared" si="1"/>
        <v>0</v>
      </c>
      <c r="F7" s="188">
        <f t="shared" si="2"/>
        <v>0</v>
      </c>
      <c r="G7" s="187">
        <f t="shared" si="2"/>
        <v>0</v>
      </c>
      <c r="H7" s="188">
        <f t="shared" si="2"/>
        <v>0</v>
      </c>
      <c r="I7" s="187">
        <f t="shared" si="2"/>
        <v>0</v>
      </c>
      <c r="J7" s="188">
        <f t="shared" si="3"/>
        <v>0</v>
      </c>
    </row>
    <row r="8" spans="2:10" ht="21.95" customHeight="1" x14ac:dyDescent="0.2">
      <c r="B8" s="43" t="s">
        <v>67</v>
      </c>
      <c r="C8" s="193">
        <v>0</v>
      </c>
      <c r="D8" s="43"/>
      <c r="E8" s="188">
        <f t="shared" si="1"/>
        <v>0</v>
      </c>
      <c r="F8" s="188">
        <f t="shared" si="2"/>
        <v>0</v>
      </c>
      <c r="G8" s="187">
        <f t="shared" si="2"/>
        <v>0</v>
      </c>
      <c r="H8" s="188">
        <f t="shared" si="2"/>
        <v>0</v>
      </c>
      <c r="I8" s="187">
        <f t="shared" si="2"/>
        <v>0</v>
      </c>
      <c r="J8" s="188">
        <f t="shared" si="3"/>
        <v>0</v>
      </c>
    </row>
    <row r="9" spans="2:10" ht="21.95" customHeight="1" x14ac:dyDescent="0.2">
      <c r="B9" s="43" t="s">
        <v>67</v>
      </c>
      <c r="C9" s="193">
        <v>0</v>
      </c>
      <c r="D9" s="43"/>
      <c r="E9" s="188">
        <f t="shared" si="1"/>
        <v>0</v>
      </c>
      <c r="F9" s="188">
        <f t="shared" si="2"/>
        <v>0</v>
      </c>
      <c r="G9" s="187">
        <f t="shared" si="2"/>
        <v>0</v>
      </c>
      <c r="H9" s="188">
        <f t="shared" si="2"/>
        <v>0</v>
      </c>
      <c r="I9" s="187">
        <f t="shared" si="2"/>
        <v>0</v>
      </c>
      <c r="J9" s="188">
        <f t="shared" si="3"/>
        <v>0</v>
      </c>
    </row>
    <row r="10" spans="2:10" ht="21.95" customHeight="1" x14ac:dyDescent="0.2">
      <c r="B10" s="43" t="s">
        <v>67</v>
      </c>
      <c r="C10" s="193">
        <v>0</v>
      </c>
      <c r="D10" s="43"/>
      <c r="E10" s="188">
        <f t="shared" si="1"/>
        <v>0</v>
      </c>
      <c r="F10" s="188">
        <f t="shared" si="2"/>
        <v>0</v>
      </c>
      <c r="G10" s="187">
        <f t="shared" si="2"/>
        <v>0</v>
      </c>
      <c r="H10" s="188">
        <f t="shared" si="2"/>
        <v>0</v>
      </c>
      <c r="I10" s="187">
        <f t="shared" si="2"/>
        <v>0</v>
      </c>
      <c r="J10" s="188">
        <f t="shared" si="3"/>
        <v>0</v>
      </c>
    </row>
    <row r="11" spans="2:10" ht="21.95" customHeight="1" thickBot="1" x14ac:dyDescent="0.25">
      <c r="B11" s="43" t="s">
        <v>67</v>
      </c>
      <c r="C11" s="193">
        <v>0</v>
      </c>
      <c r="D11" s="43"/>
      <c r="E11" s="188">
        <f t="shared" si="1"/>
        <v>0</v>
      </c>
      <c r="F11" s="189">
        <f t="shared" si="2"/>
        <v>0</v>
      </c>
      <c r="G11" s="187">
        <f t="shared" si="2"/>
        <v>0</v>
      </c>
      <c r="H11" s="189"/>
      <c r="I11" s="187">
        <f t="shared" ref="I11" si="4">H11*1.03</f>
        <v>0</v>
      </c>
      <c r="J11" s="189">
        <f t="shared" si="3"/>
        <v>0</v>
      </c>
    </row>
    <row r="12" spans="2:10" ht="21.95" customHeight="1" thickBot="1" x14ac:dyDescent="0.25">
      <c r="B12" s="59" t="s">
        <v>2</v>
      </c>
      <c r="C12" s="194"/>
      <c r="D12" s="184"/>
      <c r="E12" s="190">
        <f>SUM(E3:E11)</f>
        <v>0</v>
      </c>
      <c r="F12" s="190">
        <f t="shared" ref="F12:J12" si="5">SUM(F3:F11)</f>
        <v>0</v>
      </c>
      <c r="G12" s="190">
        <f t="shared" si="5"/>
        <v>0</v>
      </c>
      <c r="H12" s="190">
        <f t="shared" si="5"/>
        <v>0</v>
      </c>
      <c r="I12" s="190">
        <f t="shared" si="5"/>
        <v>0</v>
      </c>
      <c r="J12" s="191">
        <f t="shared" si="5"/>
        <v>0</v>
      </c>
    </row>
    <row r="13" spans="2:10" ht="21.95" customHeight="1" x14ac:dyDescent="0.2"/>
    <row r="14" spans="2:10" ht="21.95" customHeight="1" x14ac:dyDescent="0.2"/>
    <row r="15" spans="2:10" ht="21.95" customHeight="1" x14ac:dyDescent="0.2"/>
    <row r="16" spans="2:10" ht="21.95" customHeight="1" x14ac:dyDescent="0.2"/>
    <row r="17" ht="21.95" customHeight="1" x14ac:dyDescent="0.2"/>
    <row r="18" ht="21.95" customHeight="1" x14ac:dyDescent="0.2"/>
    <row r="19" ht="21.95" customHeight="1" x14ac:dyDescent="0.2"/>
    <row r="20" ht="21.95" customHeight="1" x14ac:dyDescent="0.2"/>
    <row r="21" ht="21.95" customHeight="1" x14ac:dyDescent="0.2"/>
    <row r="22" ht="21.95" customHeight="1" x14ac:dyDescent="0.2"/>
    <row r="23" ht="21.95" customHeight="1" x14ac:dyDescent="0.2"/>
    <row r="24" ht="21.95" customHeight="1"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T42"/>
  <sheetViews>
    <sheetView topLeftCell="A22" workbookViewId="0">
      <selection activeCell="D42" sqref="D42"/>
    </sheetView>
  </sheetViews>
  <sheetFormatPr defaultColWidth="9.33203125" defaultRowHeight="12.75" x14ac:dyDescent="0.2"/>
  <cols>
    <col min="1" max="1" width="38.33203125" style="96" customWidth="1"/>
    <col min="2" max="2" width="34.5" style="96" customWidth="1"/>
    <col min="3" max="3" width="20.5" style="96" bestFit="1" customWidth="1"/>
    <col min="4" max="4" width="20.83203125" style="96" customWidth="1"/>
    <col min="5" max="5" width="21.33203125" style="96" customWidth="1"/>
    <col min="6" max="6" width="21.83203125" style="96" customWidth="1"/>
    <col min="7" max="7" width="21.1640625" style="96" customWidth="1"/>
    <col min="8" max="8" width="22.33203125" style="96" customWidth="1"/>
    <col min="9" max="9" width="12.6640625" style="96" customWidth="1"/>
    <col min="10" max="16384" width="9.33203125" style="96"/>
  </cols>
  <sheetData>
    <row r="1" spans="1:20" ht="18.75" x14ac:dyDescent="0.2">
      <c r="A1" s="93" t="s">
        <v>46</v>
      </c>
      <c r="B1" s="94"/>
      <c r="C1" s="94"/>
      <c r="D1" s="94"/>
      <c r="E1" s="94"/>
      <c r="F1" s="94"/>
      <c r="G1" s="94"/>
      <c r="H1" s="94"/>
      <c r="I1" s="95"/>
      <c r="J1" s="95"/>
      <c r="K1" s="95"/>
      <c r="L1" s="95"/>
      <c r="M1" s="95"/>
      <c r="N1" s="95"/>
      <c r="O1" s="95"/>
      <c r="P1" s="95"/>
      <c r="Q1" s="95"/>
      <c r="R1" s="95"/>
      <c r="S1" s="95"/>
      <c r="T1" s="95"/>
    </row>
    <row r="2" spans="1:20" ht="15.75" x14ac:dyDescent="0.2">
      <c r="A2" s="94"/>
      <c r="B2" s="94"/>
      <c r="C2" s="97" t="s">
        <v>53</v>
      </c>
      <c r="D2" s="97" t="s">
        <v>54</v>
      </c>
      <c r="E2" s="97" t="s">
        <v>55</v>
      </c>
      <c r="F2" s="97" t="s">
        <v>56</v>
      </c>
      <c r="G2" s="97" t="s">
        <v>57</v>
      </c>
      <c r="H2" s="97" t="s">
        <v>2</v>
      </c>
      <c r="I2" s="95"/>
      <c r="J2" s="95"/>
      <c r="K2" s="95"/>
      <c r="L2" s="95"/>
      <c r="M2" s="95"/>
      <c r="N2" s="95"/>
      <c r="O2" s="95"/>
      <c r="P2" s="95"/>
      <c r="Q2" s="95"/>
      <c r="R2" s="95"/>
      <c r="S2" s="95"/>
      <c r="T2" s="95"/>
    </row>
    <row r="3" spans="1:20" ht="18.75" x14ac:dyDescent="0.3">
      <c r="A3" s="65" t="s">
        <v>50</v>
      </c>
      <c r="B3" s="98" t="s">
        <v>47</v>
      </c>
      <c r="C3" s="66"/>
      <c r="D3" s="67"/>
      <c r="E3" s="67"/>
      <c r="F3" s="67"/>
      <c r="G3" s="67"/>
      <c r="H3" s="99"/>
      <c r="I3" s="15"/>
      <c r="J3" s="15"/>
      <c r="K3" s="16"/>
      <c r="L3" s="15"/>
      <c r="M3" s="15"/>
      <c r="N3" s="16"/>
      <c r="O3" s="15"/>
      <c r="P3" s="15"/>
      <c r="Q3" s="16"/>
      <c r="R3" s="15"/>
      <c r="S3" s="15"/>
      <c r="T3" s="16"/>
    </row>
    <row r="4" spans="1:20" ht="18.75" x14ac:dyDescent="0.3">
      <c r="A4" s="100" t="s">
        <v>48</v>
      </c>
      <c r="B4" s="98"/>
      <c r="C4" s="70"/>
      <c r="D4" s="70"/>
      <c r="E4" s="70"/>
      <c r="F4" s="70"/>
      <c r="G4" s="70"/>
      <c r="H4" s="68">
        <f>SUM(C4:G4)</f>
        <v>0</v>
      </c>
      <c r="I4" s="15"/>
      <c r="J4" s="15"/>
      <c r="K4" s="16"/>
      <c r="L4" s="15"/>
      <c r="M4" s="15"/>
      <c r="N4" s="16"/>
      <c r="O4" s="15"/>
      <c r="P4" s="15"/>
      <c r="Q4" s="16"/>
      <c r="R4" s="15"/>
      <c r="S4" s="15"/>
      <c r="T4" s="16"/>
    </row>
    <row r="5" spans="1:20" ht="18.75" x14ac:dyDescent="0.3">
      <c r="A5" s="100" t="s">
        <v>49</v>
      </c>
      <c r="B5" s="101"/>
      <c r="C5" s="70"/>
      <c r="D5" s="70"/>
      <c r="E5" s="70"/>
      <c r="F5" s="70"/>
      <c r="G5" s="70"/>
      <c r="H5" s="68">
        <f>SUM(C5:G5)</f>
        <v>0</v>
      </c>
      <c r="I5" s="15"/>
      <c r="J5" s="15"/>
      <c r="K5" s="16"/>
      <c r="L5" s="15"/>
      <c r="M5" s="15"/>
      <c r="N5" s="16"/>
      <c r="O5" s="15"/>
      <c r="P5" s="15"/>
      <c r="Q5" s="16"/>
      <c r="R5" s="15"/>
      <c r="S5" s="15"/>
      <c r="T5" s="16"/>
    </row>
    <row r="6" spans="1:20" ht="18.75" x14ac:dyDescent="0.3">
      <c r="A6" s="72" t="s">
        <v>2</v>
      </c>
      <c r="B6" s="101"/>
      <c r="C6" s="102">
        <f>C4+C5</f>
        <v>0</v>
      </c>
      <c r="D6" s="102">
        <f t="shared" ref="D6:G6" si="0">D4+D5</f>
        <v>0</v>
      </c>
      <c r="E6" s="102">
        <f t="shared" si="0"/>
        <v>0</v>
      </c>
      <c r="F6" s="102">
        <f t="shared" si="0"/>
        <v>0</v>
      </c>
      <c r="G6" s="102">
        <f t="shared" si="0"/>
        <v>0</v>
      </c>
      <c r="H6" s="90">
        <f>SUM(C6:G6)</f>
        <v>0</v>
      </c>
      <c r="I6" s="15"/>
      <c r="J6" s="15"/>
      <c r="K6" s="16"/>
      <c r="L6" s="15"/>
      <c r="M6" s="15"/>
      <c r="N6" s="16"/>
      <c r="O6" s="15"/>
      <c r="P6" s="15"/>
      <c r="Q6" s="16"/>
      <c r="R6" s="15"/>
      <c r="S6" s="15"/>
      <c r="T6" s="16"/>
    </row>
    <row r="7" spans="1:20" ht="18.75" x14ac:dyDescent="0.3">
      <c r="A7" s="433" t="s">
        <v>90</v>
      </c>
      <c r="B7" s="434"/>
      <c r="C7" s="91">
        <f>IF(C6&lt;25000,C6,25000)</f>
        <v>0</v>
      </c>
      <c r="D7" s="91">
        <f>IF(C7&lt;25000,IF((C7+D6)&lt;25000,D6,25000-C7),0)</f>
        <v>0</v>
      </c>
      <c r="E7" s="91">
        <f>IF((D7+C7)&lt;25000,IF((D7+E6+C7)&lt;25000,E6,25000-C7-D7),0)</f>
        <v>0</v>
      </c>
      <c r="F7" s="91">
        <f>IF((E7+D7+C7)&lt;25000,IF((E7+D7+C7+F6)&lt;25000,F6,25000-E7-D7-C7),0)</f>
        <v>0</v>
      </c>
      <c r="G7" s="91">
        <f>IF((F7+E7+D7+C7)&lt;25000,IF((C7+D7+E7+F7+G6)&lt;25000,G6,25000-F7-E7-D7-C7),0)</f>
        <v>0</v>
      </c>
      <c r="H7" s="91">
        <f>C7+D7+E7+F7+G7</f>
        <v>0</v>
      </c>
      <c r="I7" s="15"/>
      <c r="J7" s="115"/>
      <c r="K7" s="16"/>
      <c r="L7" s="15"/>
      <c r="M7" s="15"/>
      <c r="N7" s="16"/>
      <c r="O7" s="15"/>
      <c r="P7" s="15"/>
      <c r="Q7" s="16"/>
      <c r="R7" s="15"/>
      <c r="S7" s="15"/>
      <c r="T7" s="16"/>
    </row>
    <row r="8" spans="1:20" ht="18.75" x14ac:dyDescent="0.3">
      <c r="A8" s="103"/>
      <c r="B8" s="104"/>
      <c r="C8" s="105"/>
      <c r="D8" s="105"/>
      <c r="E8" s="105"/>
      <c r="F8" s="105"/>
      <c r="G8" s="105"/>
      <c r="H8" s="105"/>
      <c r="I8" s="15"/>
      <c r="J8" s="15"/>
      <c r="K8" s="16"/>
      <c r="L8" s="15"/>
      <c r="M8" s="15"/>
      <c r="N8" s="16"/>
      <c r="O8" s="15"/>
      <c r="P8" s="15"/>
      <c r="Q8" s="16"/>
      <c r="R8" s="15"/>
      <c r="S8" s="15"/>
      <c r="T8" s="16"/>
    </row>
    <row r="9" spans="1:20" ht="18.75" x14ac:dyDescent="0.3">
      <c r="A9" s="69" t="s">
        <v>51</v>
      </c>
      <c r="B9" s="98" t="s">
        <v>47</v>
      </c>
      <c r="C9" s="70"/>
      <c r="D9" s="70"/>
      <c r="E9" s="70"/>
      <c r="F9" s="71"/>
      <c r="G9" s="70"/>
      <c r="H9" s="102"/>
      <c r="I9" s="17"/>
      <c r="J9" s="17"/>
      <c r="K9" s="18"/>
      <c r="L9" s="17"/>
      <c r="M9" s="17"/>
      <c r="N9" s="18"/>
      <c r="O9" s="17"/>
      <c r="P9" s="17"/>
      <c r="Q9" s="18"/>
      <c r="R9" s="17"/>
      <c r="S9" s="17"/>
      <c r="T9" s="18"/>
    </row>
    <row r="10" spans="1:20" ht="18.75" x14ac:dyDescent="0.3">
      <c r="A10" s="100" t="s">
        <v>48</v>
      </c>
      <c r="B10" s="101"/>
      <c r="C10" s="70"/>
      <c r="D10" s="70"/>
      <c r="E10" s="70"/>
      <c r="F10" s="70"/>
      <c r="G10" s="70"/>
      <c r="H10" s="68">
        <f>SUM(C10:G10)</f>
        <v>0</v>
      </c>
      <c r="I10" s="17"/>
      <c r="J10" s="17"/>
      <c r="K10" s="18"/>
      <c r="L10" s="19"/>
      <c r="M10" s="17"/>
      <c r="N10" s="18"/>
      <c r="O10" s="17"/>
      <c r="P10" s="17"/>
      <c r="Q10" s="18"/>
      <c r="R10" s="17"/>
      <c r="S10" s="17"/>
      <c r="T10" s="18"/>
    </row>
    <row r="11" spans="1:20" ht="18.75" x14ac:dyDescent="0.3">
      <c r="A11" s="100" t="s">
        <v>49</v>
      </c>
      <c r="B11" s="101"/>
      <c r="C11" s="70"/>
      <c r="D11" s="70"/>
      <c r="E11" s="70"/>
      <c r="F11" s="70"/>
      <c r="G11" s="70"/>
      <c r="H11" s="68">
        <f>SUM(C11:G11)</f>
        <v>0</v>
      </c>
      <c r="I11" s="17"/>
      <c r="J11" s="17"/>
      <c r="K11" s="18"/>
      <c r="L11" s="17"/>
      <c r="M11" s="17"/>
      <c r="N11" s="18"/>
      <c r="O11" s="17"/>
      <c r="P11" s="17"/>
      <c r="Q11" s="18"/>
      <c r="R11" s="17"/>
      <c r="S11" s="17"/>
      <c r="T11" s="18"/>
    </row>
    <row r="12" spans="1:20" ht="18.75" x14ac:dyDescent="0.3">
      <c r="A12" s="72" t="s">
        <v>2</v>
      </c>
      <c r="B12" s="101"/>
      <c r="C12" s="102">
        <f>C10+C11</f>
        <v>0</v>
      </c>
      <c r="D12" s="102">
        <f t="shared" ref="D12:G12" si="1">D10+D11</f>
        <v>0</v>
      </c>
      <c r="E12" s="102">
        <f t="shared" si="1"/>
        <v>0</v>
      </c>
      <c r="F12" s="102">
        <f t="shared" si="1"/>
        <v>0</v>
      </c>
      <c r="G12" s="102">
        <f t="shared" si="1"/>
        <v>0</v>
      </c>
      <c r="H12" s="90">
        <f>SUM(C12:G12)</f>
        <v>0</v>
      </c>
      <c r="I12" s="19"/>
      <c r="J12" s="17"/>
      <c r="K12" s="18"/>
      <c r="L12" s="17"/>
      <c r="M12" s="17"/>
      <c r="N12" s="18"/>
      <c r="O12" s="17"/>
      <c r="P12" s="17"/>
      <c r="Q12" s="18"/>
      <c r="R12" s="17"/>
      <c r="S12" s="17"/>
      <c r="T12" s="18"/>
    </row>
    <row r="13" spans="1:20" ht="18.75" x14ac:dyDescent="0.3">
      <c r="A13" s="433" t="s">
        <v>90</v>
      </c>
      <c r="B13" s="434"/>
      <c r="C13" s="91">
        <f>IF(C12&lt;25000,C12,25000)</f>
        <v>0</v>
      </c>
      <c r="D13" s="91">
        <f>IF(C13&lt;25000,IF((C13+D12)&lt;25000,D12,25000-C13),0)</f>
        <v>0</v>
      </c>
      <c r="E13" s="91">
        <f>IF((D13+C13)&lt;25000,IF((D13+E12+C13)&lt;25000,E12,25000-C13-D13),0)</f>
        <v>0</v>
      </c>
      <c r="F13" s="91">
        <f>IF((E13+D13+C13)&lt;25000,IF((E13+D13+C13+F12)&lt;25000,F12,25000-E13-D13-C13),0)</f>
        <v>0</v>
      </c>
      <c r="G13" s="91">
        <f>IF((F13+E13+D13+C13)&lt;25000,IF((C13+D13+E13+F13+G12)&lt;25000,G12,25000-F13-E13-D13-C13),0)</f>
        <v>0</v>
      </c>
      <c r="H13" s="91">
        <f>C13+D13+E13+F13+G13</f>
        <v>0</v>
      </c>
      <c r="I13" s="17"/>
      <c r="J13" s="17"/>
      <c r="K13" s="18"/>
      <c r="L13" s="17"/>
      <c r="M13" s="17"/>
      <c r="N13" s="18"/>
      <c r="O13" s="17"/>
      <c r="P13" s="17"/>
      <c r="Q13" s="18"/>
      <c r="R13" s="17"/>
      <c r="S13" s="17"/>
      <c r="T13" s="18"/>
    </row>
    <row r="14" spans="1:20" ht="18.75" x14ac:dyDescent="0.3">
      <c r="A14" s="106"/>
      <c r="B14" s="107"/>
      <c r="C14" s="105"/>
      <c r="D14" s="105"/>
      <c r="E14" s="105"/>
      <c r="F14" s="105"/>
      <c r="G14" s="105"/>
      <c r="H14" s="105"/>
      <c r="I14" s="17"/>
      <c r="J14" s="17"/>
      <c r="K14" s="18"/>
      <c r="L14" s="17"/>
      <c r="M14" s="17"/>
      <c r="N14" s="18"/>
      <c r="O14" s="17"/>
      <c r="P14" s="17"/>
      <c r="Q14" s="18"/>
      <c r="R14" s="17"/>
      <c r="S14" s="17"/>
      <c r="T14" s="18"/>
    </row>
    <row r="15" spans="1:20" ht="18.75" x14ac:dyDescent="0.3">
      <c r="A15" s="69" t="s">
        <v>52</v>
      </c>
      <c r="B15" s="98" t="s">
        <v>47</v>
      </c>
      <c r="C15" s="70"/>
      <c r="D15" s="70"/>
      <c r="E15" s="70"/>
      <c r="F15" s="71"/>
      <c r="G15" s="70"/>
      <c r="H15" s="102"/>
      <c r="I15" s="17"/>
      <c r="J15" s="17"/>
      <c r="K15" s="18"/>
      <c r="L15" s="17"/>
      <c r="M15" s="17"/>
      <c r="N15" s="18"/>
      <c r="O15" s="17"/>
      <c r="P15" s="17"/>
      <c r="Q15" s="18"/>
      <c r="R15" s="17"/>
      <c r="S15" s="17"/>
      <c r="T15" s="18"/>
    </row>
    <row r="16" spans="1:20" ht="18.75" x14ac:dyDescent="0.3">
      <c r="A16" s="100" t="s">
        <v>48</v>
      </c>
      <c r="B16" s="101"/>
      <c r="C16" s="70"/>
      <c r="D16" s="70"/>
      <c r="E16" s="70"/>
      <c r="F16" s="70"/>
      <c r="G16" s="70"/>
      <c r="H16" s="68">
        <f>SUM(C16:G16)</f>
        <v>0</v>
      </c>
      <c r="I16" s="17"/>
      <c r="J16" s="17"/>
      <c r="K16" s="18"/>
      <c r="L16" s="17"/>
      <c r="M16" s="17"/>
      <c r="N16" s="18"/>
      <c r="O16" s="17"/>
      <c r="P16" s="17"/>
      <c r="Q16" s="18"/>
      <c r="R16" s="17"/>
      <c r="S16" s="17"/>
      <c r="T16" s="18"/>
    </row>
    <row r="17" spans="1:20" ht="18.75" x14ac:dyDescent="0.3">
      <c r="A17" s="100" t="s">
        <v>49</v>
      </c>
      <c r="B17" s="101"/>
      <c r="C17" s="70"/>
      <c r="D17" s="70"/>
      <c r="E17" s="70"/>
      <c r="F17" s="70"/>
      <c r="G17" s="70"/>
      <c r="H17" s="68">
        <f>SUM(C17:G17)</f>
        <v>0</v>
      </c>
      <c r="I17" s="17"/>
      <c r="J17" s="17"/>
      <c r="K17" s="18"/>
      <c r="L17" s="17"/>
      <c r="M17" s="17"/>
      <c r="N17" s="18"/>
      <c r="O17" s="17"/>
      <c r="P17" s="17"/>
      <c r="Q17" s="18"/>
      <c r="R17" s="17"/>
      <c r="S17" s="17"/>
      <c r="T17" s="18"/>
    </row>
    <row r="18" spans="1:20" ht="18.75" x14ac:dyDescent="0.3">
      <c r="A18" s="72" t="s">
        <v>2</v>
      </c>
      <c r="B18" s="101"/>
      <c r="C18" s="90">
        <f>C16+C17</f>
        <v>0</v>
      </c>
      <c r="D18" s="90">
        <f t="shared" ref="D18:G18" si="2">D16+D17</f>
        <v>0</v>
      </c>
      <c r="E18" s="90">
        <f t="shared" si="2"/>
        <v>0</v>
      </c>
      <c r="F18" s="90">
        <f t="shared" si="2"/>
        <v>0</v>
      </c>
      <c r="G18" s="90">
        <f t="shared" si="2"/>
        <v>0</v>
      </c>
      <c r="H18" s="90">
        <f>SUM(C18:G18)</f>
        <v>0</v>
      </c>
      <c r="I18" s="17"/>
      <c r="J18" s="17"/>
      <c r="K18" s="18"/>
      <c r="L18" s="17"/>
      <c r="M18" s="17"/>
      <c r="N18" s="18"/>
      <c r="O18" s="17"/>
      <c r="P18" s="17"/>
      <c r="Q18" s="18"/>
      <c r="R18" s="17"/>
      <c r="S18" s="17"/>
      <c r="T18" s="18"/>
    </row>
    <row r="19" spans="1:20" ht="18.75" x14ac:dyDescent="0.3">
      <c r="A19" s="433" t="s">
        <v>90</v>
      </c>
      <c r="B19" s="434"/>
      <c r="C19" s="91">
        <f>IF(C18&lt;25000,C18,25000)</f>
        <v>0</v>
      </c>
      <c r="D19" s="91">
        <f>IF(C19&lt;25000,IF((C19+D18)&lt;25000,D18,25000-C19),0)</f>
        <v>0</v>
      </c>
      <c r="E19" s="91">
        <f>IF((D19+C19)&lt;25000,IF((D19+E18+C19)&lt;25000,E18,25000-C19-D19),0)</f>
        <v>0</v>
      </c>
      <c r="F19" s="91">
        <f>IF((E19+D19+C19)&lt;25000,IF((E19+D19+C19+F18)&lt;25000,F18,25000-E19-D19-C19),0)</f>
        <v>0</v>
      </c>
      <c r="G19" s="91">
        <f>IF((F19+E19+D19+C19)&lt;25000,IF((C19+D19+E19+F19+G18)&lt;25000,G18,25000-F19-E19-D19-C19),0)</f>
        <v>0</v>
      </c>
      <c r="H19" s="91">
        <f>C19+D19+E19+F19+G19</f>
        <v>0</v>
      </c>
      <c r="I19" s="17"/>
      <c r="J19" s="17"/>
      <c r="K19" s="18"/>
      <c r="L19" s="17"/>
      <c r="M19" s="17"/>
      <c r="N19" s="18"/>
      <c r="O19" s="17"/>
      <c r="P19" s="17"/>
      <c r="Q19" s="18"/>
      <c r="R19" s="17"/>
      <c r="S19" s="17"/>
      <c r="T19" s="18"/>
    </row>
    <row r="20" spans="1:20" ht="18.75" x14ac:dyDescent="0.3">
      <c r="A20" s="106"/>
      <c r="B20" s="107"/>
      <c r="C20" s="105"/>
      <c r="D20" s="105"/>
      <c r="E20" s="105"/>
      <c r="F20" s="105"/>
      <c r="G20" s="105"/>
      <c r="H20" s="105"/>
      <c r="I20" s="17"/>
      <c r="J20" s="17"/>
      <c r="K20" s="18"/>
      <c r="L20" s="17"/>
      <c r="M20" s="17"/>
      <c r="N20" s="18"/>
      <c r="O20" s="17"/>
      <c r="P20" s="17"/>
      <c r="Q20" s="18"/>
      <c r="R20" s="17"/>
      <c r="S20" s="17"/>
      <c r="T20" s="18"/>
    </row>
    <row r="21" spans="1:20" ht="18.75" x14ac:dyDescent="0.3">
      <c r="A21" s="69" t="s">
        <v>122</v>
      </c>
      <c r="B21" s="98" t="s">
        <v>47</v>
      </c>
      <c r="C21" s="70"/>
      <c r="D21" s="70"/>
      <c r="E21" s="70"/>
      <c r="F21" s="71"/>
      <c r="G21" s="70"/>
      <c r="H21" s="102"/>
      <c r="I21" s="17"/>
      <c r="J21" s="17"/>
      <c r="K21" s="18"/>
      <c r="L21" s="17"/>
      <c r="M21" s="17"/>
      <c r="N21" s="18"/>
      <c r="O21" s="17"/>
      <c r="P21" s="17"/>
      <c r="Q21" s="18"/>
      <c r="R21" s="17"/>
      <c r="S21" s="17"/>
      <c r="T21" s="18"/>
    </row>
    <row r="22" spans="1:20" ht="18.75" x14ac:dyDescent="0.3">
      <c r="A22" s="100" t="s">
        <v>48</v>
      </c>
      <c r="B22" s="101"/>
      <c r="C22" s="70"/>
      <c r="D22" s="70"/>
      <c r="E22" s="70"/>
      <c r="F22" s="70"/>
      <c r="G22" s="70"/>
      <c r="H22" s="68">
        <f>SUM(C22:G22)</f>
        <v>0</v>
      </c>
      <c r="I22" s="17"/>
      <c r="J22" s="17"/>
      <c r="K22" s="18"/>
      <c r="L22" s="17"/>
      <c r="M22" s="17"/>
      <c r="N22" s="18"/>
      <c r="O22" s="17"/>
      <c r="P22" s="17"/>
      <c r="Q22" s="18"/>
      <c r="R22" s="17"/>
      <c r="S22" s="17"/>
      <c r="T22" s="18"/>
    </row>
    <row r="23" spans="1:20" ht="18.75" x14ac:dyDescent="0.3">
      <c r="A23" s="100" t="s">
        <v>49</v>
      </c>
      <c r="B23" s="101"/>
      <c r="C23" s="70"/>
      <c r="D23" s="70"/>
      <c r="E23" s="70"/>
      <c r="F23" s="70"/>
      <c r="G23" s="70"/>
      <c r="H23" s="68">
        <f>SUM(C23:G23)</f>
        <v>0</v>
      </c>
      <c r="I23" s="17"/>
      <c r="J23" s="17"/>
      <c r="K23" s="18"/>
      <c r="L23" s="17"/>
      <c r="M23" s="17"/>
      <c r="N23" s="18"/>
      <c r="O23" s="17"/>
      <c r="P23" s="17"/>
      <c r="Q23" s="18"/>
      <c r="R23" s="17"/>
      <c r="S23" s="17"/>
      <c r="T23" s="18"/>
    </row>
    <row r="24" spans="1:20" ht="18.75" x14ac:dyDescent="0.3">
      <c r="A24" s="72" t="s">
        <v>2</v>
      </c>
      <c r="B24" s="101"/>
      <c r="C24" s="90">
        <f>C22+C23</f>
        <v>0</v>
      </c>
      <c r="D24" s="90">
        <f t="shared" ref="D24" si="3">D22+D23</f>
        <v>0</v>
      </c>
      <c r="E24" s="90">
        <f t="shared" ref="E24" si="4">E22+E23</f>
        <v>0</v>
      </c>
      <c r="F24" s="90">
        <f t="shared" ref="F24" si="5">F22+F23</f>
        <v>0</v>
      </c>
      <c r="G24" s="90">
        <f t="shared" ref="G24" si="6">G22+G23</f>
        <v>0</v>
      </c>
      <c r="H24" s="90">
        <f>SUM(C24:G24)</f>
        <v>0</v>
      </c>
      <c r="I24" s="17"/>
      <c r="J24" s="17"/>
      <c r="K24" s="18"/>
      <c r="L24" s="17"/>
      <c r="M24" s="17"/>
      <c r="N24" s="18"/>
      <c r="O24" s="17"/>
      <c r="P24" s="17"/>
      <c r="Q24" s="18"/>
      <c r="R24" s="17"/>
      <c r="S24" s="17"/>
      <c r="T24" s="18"/>
    </row>
    <row r="25" spans="1:20" ht="18.75" x14ac:dyDescent="0.3">
      <c r="A25" s="433" t="s">
        <v>90</v>
      </c>
      <c r="B25" s="434"/>
      <c r="C25" s="91">
        <f>IF(C24&lt;25000,C24,25000)</f>
        <v>0</v>
      </c>
      <c r="D25" s="91">
        <f>IF(C25&lt;25000,IF((C25+D24)&lt;25000,D24,25000-C25),0)</f>
        <v>0</v>
      </c>
      <c r="E25" s="91">
        <f>IF((D25+C25)&lt;25000,IF((D25+E24+C25)&lt;25000,E24,25000-C25-D25),0)</f>
        <v>0</v>
      </c>
      <c r="F25" s="91">
        <f>IF((E25+D25+C25)&lt;25000,IF((E25+D25+C25+F24)&lt;25000,F24,25000-E25-D25-C25),0)</f>
        <v>0</v>
      </c>
      <c r="G25" s="91">
        <f>IF((F25+E25+D25+C25)&lt;25000,IF((C25+D25+E25+F25+G24)&lt;25000,G24,25000-F25-E25-D25-C25),0)</f>
        <v>0</v>
      </c>
      <c r="H25" s="91">
        <f>C25+D25+E25+F25+G25</f>
        <v>0</v>
      </c>
      <c r="I25" s="17"/>
      <c r="J25" s="17"/>
      <c r="K25" s="18"/>
      <c r="L25" s="17"/>
      <c r="M25" s="17"/>
      <c r="N25" s="18"/>
      <c r="O25" s="17"/>
      <c r="P25" s="17"/>
      <c r="Q25" s="18"/>
      <c r="R25" s="17"/>
      <c r="S25" s="17"/>
      <c r="T25" s="18"/>
    </row>
    <row r="26" spans="1:20" ht="18.75" x14ac:dyDescent="0.3">
      <c r="A26" s="106"/>
      <c r="B26" s="107"/>
      <c r="C26" s="105"/>
      <c r="D26" s="105"/>
      <c r="E26" s="105"/>
      <c r="F26" s="105"/>
      <c r="G26" s="105"/>
      <c r="H26" s="105"/>
      <c r="I26" s="17"/>
      <c r="J26" s="17"/>
      <c r="K26" s="18"/>
      <c r="L26" s="17"/>
      <c r="M26" s="17"/>
      <c r="N26" s="18"/>
      <c r="O26" s="17"/>
      <c r="P26" s="17"/>
      <c r="Q26" s="18"/>
      <c r="R26" s="17"/>
      <c r="S26" s="17"/>
      <c r="T26" s="18"/>
    </row>
    <row r="27" spans="1:20" ht="18.75" x14ac:dyDescent="0.3">
      <c r="A27" s="69" t="s">
        <v>123</v>
      </c>
      <c r="B27" s="98" t="s">
        <v>47</v>
      </c>
      <c r="C27" s="70"/>
      <c r="D27" s="70"/>
      <c r="E27" s="70"/>
      <c r="F27" s="71"/>
      <c r="G27" s="70"/>
      <c r="H27" s="102"/>
      <c r="I27" s="17"/>
      <c r="J27" s="17"/>
      <c r="K27" s="18"/>
      <c r="L27" s="17"/>
      <c r="M27" s="17"/>
      <c r="N27" s="18"/>
      <c r="O27" s="17"/>
      <c r="P27" s="17"/>
      <c r="Q27" s="18"/>
      <c r="R27" s="17"/>
      <c r="S27" s="17"/>
      <c r="T27" s="18"/>
    </row>
    <row r="28" spans="1:20" ht="18.75" x14ac:dyDescent="0.3">
      <c r="A28" s="100" t="s">
        <v>48</v>
      </c>
      <c r="B28" s="101"/>
      <c r="C28" s="70"/>
      <c r="D28" s="70"/>
      <c r="E28" s="70"/>
      <c r="F28" s="70"/>
      <c r="G28" s="70"/>
      <c r="H28" s="68">
        <f>SUM(C28:G28)</f>
        <v>0</v>
      </c>
      <c r="I28" s="17"/>
      <c r="J28" s="17"/>
      <c r="K28" s="18"/>
      <c r="L28" s="17"/>
      <c r="M28" s="17"/>
      <c r="N28" s="18"/>
      <c r="O28" s="17"/>
      <c r="P28" s="17"/>
      <c r="Q28" s="18"/>
      <c r="R28" s="17"/>
      <c r="S28" s="17"/>
      <c r="T28" s="18"/>
    </row>
    <row r="29" spans="1:20" ht="18.75" x14ac:dyDescent="0.3">
      <c r="A29" s="100" t="s">
        <v>49</v>
      </c>
      <c r="B29" s="101"/>
      <c r="C29" s="70"/>
      <c r="D29" s="70"/>
      <c r="E29" s="70"/>
      <c r="F29" s="70"/>
      <c r="G29" s="70"/>
      <c r="H29" s="68">
        <f>SUM(C29:G29)</f>
        <v>0</v>
      </c>
      <c r="I29" s="17"/>
      <c r="J29" s="17"/>
      <c r="K29" s="18"/>
      <c r="L29" s="17"/>
      <c r="M29" s="17"/>
      <c r="N29" s="18"/>
      <c r="O29" s="17"/>
      <c r="P29" s="17"/>
      <c r="Q29" s="18"/>
      <c r="R29" s="17"/>
      <c r="S29" s="17"/>
      <c r="T29" s="18"/>
    </row>
    <row r="30" spans="1:20" ht="18.75" x14ac:dyDescent="0.3">
      <c r="A30" s="72" t="s">
        <v>2</v>
      </c>
      <c r="B30" s="101"/>
      <c r="C30" s="90">
        <f>C28+C29</f>
        <v>0</v>
      </c>
      <c r="D30" s="90">
        <f t="shared" ref="D30" si="7">D28+D29</f>
        <v>0</v>
      </c>
      <c r="E30" s="90">
        <f t="shared" ref="E30" si="8">E28+E29</f>
        <v>0</v>
      </c>
      <c r="F30" s="90">
        <f t="shared" ref="F30" si="9">F28+F29</f>
        <v>0</v>
      </c>
      <c r="G30" s="90">
        <f t="shared" ref="G30" si="10">G28+G29</f>
        <v>0</v>
      </c>
      <c r="H30" s="90">
        <f>SUM(C30:G30)</f>
        <v>0</v>
      </c>
      <c r="I30" s="17"/>
      <c r="J30" s="17"/>
      <c r="K30" s="18"/>
      <c r="L30" s="17"/>
      <c r="M30" s="17"/>
      <c r="N30" s="18"/>
      <c r="O30" s="17"/>
      <c r="P30" s="17"/>
      <c r="Q30" s="18"/>
      <c r="R30" s="17"/>
      <c r="S30" s="17"/>
      <c r="T30" s="18"/>
    </row>
    <row r="31" spans="1:20" ht="18.75" x14ac:dyDescent="0.3">
      <c r="A31" s="433" t="s">
        <v>90</v>
      </c>
      <c r="B31" s="434"/>
      <c r="C31" s="91">
        <f>IF(C30&lt;25000,C30,25000)</f>
        <v>0</v>
      </c>
      <c r="D31" s="91">
        <f>IF(C31&lt;25000,IF((C31+D30)&lt;25000,D30,25000-C31),0)</f>
        <v>0</v>
      </c>
      <c r="E31" s="91">
        <f>IF((D31+C31)&lt;25000,IF((D31+E30+C31)&lt;25000,E30,25000-C31-D31),0)</f>
        <v>0</v>
      </c>
      <c r="F31" s="91">
        <f>IF((E31+D31+C31)&lt;25000,IF((E31+D31+C31+F30)&lt;25000,F30,25000-E31-D31-C31),0)</f>
        <v>0</v>
      </c>
      <c r="G31" s="91">
        <f>IF((F31+E31+D31+C31)&lt;25000,IF((C31+D31+E31+F31+G30)&lt;25000,G30,25000-F31-E31-D31-C31),0)</f>
        <v>0</v>
      </c>
      <c r="H31" s="91">
        <f>C31+D31+E31+F31+G31</f>
        <v>0</v>
      </c>
      <c r="I31" s="17"/>
      <c r="J31" s="17"/>
      <c r="K31" s="18"/>
      <c r="L31" s="17"/>
      <c r="M31" s="17"/>
      <c r="N31" s="18"/>
      <c r="O31" s="17"/>
      <c r="P31" s="17"/>
      <c r="Q31" s="18"/>
      <c r="R31" s="17"/>
      <c r="S31" s="17"/>
      <c r="T31" s="18"/>
    </row>
    <row r="32" spans="1:20" ht="18.75" x14ac:dyDescent="0.3">
      <c r="A32" s="106"/>
      <c r="B32" s="107"/>
      <c r="C32" s="105"/>
      <c r="D32" s="105"/>
      <c r="E32" s="105"/>
      <c r="F32" s="105"/>
      <c r="G32" s="105"/>
      <c r="H32" s="105"/>
      <c r="I32" s="17"/>
      <c r="J32" s="17"/>
      <c r="K32" s="18"/>
      <c r="L32" s="17"/>
      <c r="M32" s="17"/>
      <c r="N32" s="18"/>
      <c r="O32" s="17"/>
      <c r="P32" s="17"/>
      <c r="Q32" s="18"/>
      <c r="R32" s="17"/>
      <c r="S32" s="17"/>
      <c r="T32" s="18"/>
    </row>
    <row r="33" spans="1:20" ht="18.75" x14ac:dyDescent="0.3">
      <c r="A33" s="69" t="s">
        <v>124</v>
      </c>
      <c r="B33" s="72" t="s">
        <v>47</v>
      </c>
      <c r="C33" s="70"/>
      <c r="D33" s="70"/>
      <c r="E33" s="70"/>
      <c r="F33" s="71"/>
      <c r="G33" s="70"/>
      <c r="H33" s="102"/>
      <c r="I33" s="108"/>
      <c r="J33" s="15"/>
      <c r="K33" s="20"/>
      <c r="L33" s="108"/>
      <c r="M33" s="15"/>
      <c r="N33" s="20"/>
      <c r="O33" s="108"/>
      <c r="P33" s="15"/>
      <c r="Q33" s="20"/>
      <c r="R33" s="108"/>
      <c r="S33" s="15"/>
      <c r="T33" s="20"/>
    </row>
    <row r="34" spans="1:20" ht="18.75" x14ac:dyDescent="0.3">
      <c r="A34" s="100" t="s">
        <v>48</v>
      </c>
      <c r="B34" s="100"/>
      <c r="C34" s="70"/>
      <c r="D34" s="70"/>
      <c r="E34" s="70"/>
      <c r="F34" s="70"/>
      <c r="G34" s="70"/>
      <c r="H34" s="68">
        <f>SUM(C34:G34)</f>
        <v>0</v>
      </c>
      <c r="I34" s="108"/>
      <c r="J34" s="108"/>
      <c r="K34" s="20"/>
      <c r="L34" s="108"/>
      <c r="M34" s="108"/>
      <c r="N34" s="20"/>
      <c r="O34" s="108"/>
      <c r="P34" s="108"/>
      <c r="Q34" s="20"/>
      <c r="R34" s="108"/>
      <c r="S34" s="108"/>
      <c r="T34" s="20"/>
    </row>
    <row r="35" spans="1:20" ht="18.75" x14ac:dyDescent="0.3">
      <c r="A35" s="100" t="s">
        <v>49</v>
      </c>
      <c r="B35" s="100"/>
      <c r="C35" s="70"/>
      <c r="D35" s="70"/>
      <c r="E35" s="70"/>
      <c r="F35" s="70"/>
      <c r="G35" s="70"/>
      <c r="H35" s="68">
        <f>SUM(C35:G35)</f>
        <v>0</v>
      </c>
      <c r="I35" s="108"/>
      <c r="J35" s="108"/>
      <c r="K35" s="20"/>
      <c r="L35" s="108"/>
      <c r="M35" s="108"/>
      <c r="N35" s="20"/>
      <c r="O35" s="108"/>
      <c r="P35" s="108"/>
      <c r="Q35" s="20"/>
      <c r="R35" s="108"/>
      <c r="S35" s="108"/>
      <c r="T35" s="20"/>
    </row>
    <row r="36" spans="1:20" ht="18.75" x14ac:dyDescent="0.3">
      <c r="A36" s="72" t="s">
        <v>2</v>
      </c>
      <c r="B36" s="100"/>
      <c r="C36" s="90">
        <f>C34+C35</f>
        <v>0</v>
      </c>
      <c r="D36" s="90">
        <f t="shared" ref="D36" si="11">D34+D35</f>
        <v>0</v>
      </c>
      <c r="E36" s="90">
        <f t="shared" ref="E36" si="12">E34+E35</f>
        <v>0</v>
      </c>
      <c r="F36" s="90">
        <f t="shared" ref="F36" si="13">F34+F35</f>
        <v>0</v>
      </c>
      <c r="G36" s="90">
        <f t="shared" ref="G36" si="14">G34+G35</f>
        <v>0</v>
      </c>
      <c r="H36" s="90">
        <f>SUM(C36:G36)</f>
        <v>0</v>
      </c>
      <c r="I36" s="108"/>
      <c r="J36" s="108"/>
      <c r="K36" s="20"/>
      <c r="L36" s="108"/>
      <c r="M36" s="108"/>
      <c r="N36" s="20"/>
      <c r="O36" s="108"/>
      <c r="P36" s="108"/>
      <c r="Q36" s="20"/>
      <c r="R36" s="108"/>
      <c r="S36" s="108"/>
      <c r="T36" s="20"/>
    </row>
    <row r="37" spans="1:20" ht="18.75" x14ac:dyDescent="0.3">
      <c r="A37" s="433" t="s">
        <v>90</v>
      </c>
      <c r="B37" s="434"/>
      <c r="C37" s="91">
        <f>IF(C36&lt;25000,C36,25000)</f>
        <v>0</v>
      </c>
      <c r="D37" s="91">
        <f>IF(C37&lt;25000,IF((C37+D36)&lt;25000,D36,25000-C37),0)</f>
        <v>0</v>
      </c>
      <c r="E37" s="91">
        <f>IF((D37+C37)&lt;25000,IF((D37+E36+C37)&lt;25000,E36,25000-C37-D37),0)</f>
        <v>0</v>
      </c>
      <c r="F37" s="91">
        <f>IF((E37+D37+C37)&lt;25000,IF((E37+D37+C37+F36)&lt;25000,F36,25000-E37-D37-C37),0)</f>
        <v>0</v>
      </c>
      <c r="G37" s="91">
        <f>IF((F37+E37+D37+C37)&lt;25000,IF((C37+D37+E37+F37+G36)&lt;25000,G36,25000-F37-E37-D37-C37),0)</f>
        <v>0</v>
      </c>
      <c r="H37" s="91">
        <f>C37+D37+E37+F37+G37</f>
        <v>0</v>
      </c>
      <c r="I37" s="108"/>
      <c r="J37" s="108"/>
      <c r="K37" s="20"/>
      <c r="L37" s="108"/>
      <c r="M37" s="108"/>
      <c r="N37" s="20"/>
      <c r="O37" s="108"/>
      <c r="P37" s="108"/>
      <c r="Q37" s="20"/>
      <c r="R37" s="108"/>
      <c r="S37" s="108"/>
      <c r="T37" s="20"/>
    </row>
    <row r="38" spans="1:20" ht="6" customHeight="1" x14ac:dyDescent="0.3">
      <c r="A38" s="109"/>
      <c r="B38" s="110"/>
      <c r="C38" s="102"/>
      <c r="D38" s="102"/>
      <c r="E38" s="102"/>
      <c r="F38" s="102"/>
      <c r="G38" s="102"/>
      <c r="H38" s="102"/>
      <c r="I38" s="108"/>
      <c r="J38" s="108"/>
      <c r="K38" s="20"/>
      <c r="L38" s="108"/>
      <c r="M38" s="108"/>
      <c r="N38" s="20"/>
      <c r="O38" s="108"/>
      <c r="P38" s="108"/>
      <c r="Q38" s="20"/>
      <c r="R38" s="108"/>
      <c r="S38" s="108"/>
      <c r="T38" s="20"/>
    </row>
    <row r="39" spans="1:20" ht="18.75" x14ac:dyDescent="0.3">
      <c r="A39" s="111" t="s">
        <v>44</v>
      </c>
      <c r="B39" s="112"/>
      <c r="C39" s="92">
        <f>C4+C10+C16+C22+C28+C34</f>
        <v>0</v>
      </c>
      <c r="D39" s="92">
        <f t="shared" ref="D39:H39" si="15">D4+D10+D16+D22+D28+D34</f>
        <v>0</v>
      </c>
      <c r="E39" s="92">
        <f t="shared" si="15"/>
        <v>0</v>
      </c>
      <c r="F39" s="92">
        <f t="shared" si="15"/>
        <v>0</v>
      </c>
      <c r="G39" s="92">
        <f t="shared" si="15"/>
        <v>0</v>
      </c>
      <c r="H39" s="92">
        <f t="shared" si="15"/>
        <v>0</v>
      </c>
      <c r="I39" s="108"/>
      <c r="J39" s="113"/>
      <c r="K39" s="20"/>
      <c r="L39" s="108"/>
      <c r="M39" s="108"/>
      <c r="N39" s="20"/>
      <c r="O39" s="108"/>
      <c r="P39" s="108"/>
      <c r="Q39" s="20"/>
      <c r="R39" s="108"/>
      <c r="S39" s="108"/>
      <c r="T39" s="113"/>
    </row>
    <row r="40" spans="1:20" ht="18.75" x14ac:dyDescent="0.3">
      <c r="A40" s="111" t="s">
        <v>45</v>
      </c>
      <c r="B40" s="112"/>
      <c r="C40" s="92">
        <f>C5+C11+C17+C23+C29+C35</f>
        <v>0</v>
      </c>
      <c r="D40" s="92">
        <f t="shared" ref="D40:H40" si="16">D5+D11+D17+D23+D29+D35</f>
        <v>0</v>
      </c>
      <c r="E40" s="92">
        <f t="shared" si="16"/>
        <v>0</v>
      </c>
      <c r="F40" s="92">
        <f t="shared" si="16"/>
        <v>0</v>
      </c>
      <c r="G40" s="92">
        <f t="shared" si="16"/>
        <v>0</v>
      </c>
      <c r="H40" s="92">
        <f t="shared" si="16"/>
        <v>0</v>
      </c>
      <c r="I40" s="108"/>
      <c r="J40" s="113"/>
      <c r="K40" s="20"/>
      <c r="L40" s="108"/>
      <c r="M40" s="113"/>
      <c r="N40" s="20"/>
      <c r="O40" s="108"/>
      <c r="P40" s="113"/>
      <c r="Q40" s="20"/>
      <c r="R40" s="108"/>
      <c r="S40" s="113"/>
      <c r="T40" s="113"/>
    </row>
    <row r="41" spans="1:20" ht="18.75" x14ac:dyDescent="0.3">
      <c r="A41" s="114" t="s">
        <v>58</v>
      </c>
      <c r="B41" s="112"/>
      <c r="C41" s="92">
        <f>C39+C40</f>
        <v>0</v>
      </c>
      <c r="D41" s="92">
        <f t="shared" ref="D41:H41" si="17">D39+D40</f>
        <v>0</v>
      </c>
      <c r="E41" s="92">
        <f t="shared" si="17"/>
        <v>0</v>
      </c>
      <c r="F41" s="92">
        <f t="shared" si="17"/>
        <v>0</v>
      </c>
      <c r="G41" s="92">
        <f t="shared" si="17"/>
        <v>0</v>
      </c>
      <c r="H41" s="92">
        <f t="shared" si="17"/>
        <v>0</v>
      </c>
      <c r="I41" s="108"/>
      <c r="J41" s="108"/>
      <c r="K41" s="20"/>
      <c r="L41" s="108"/>
      <c r="M41" s="108"/>
      <c r="N41" s="20"/>
      <c r="O41" s="108"/>
      <c r="P41" s="108"/>
      <c r="Q41" s="20"/>
      <c r="R41" s="108"/>
      <c r="S41" s="108"/>
      <c r="T41" s="20"/>
    </row>
    <row r="42" spans="1:20" ht="18.75" x14ac:dyDescent="0.3">
      <c r="A42" s="114" t="s">
        <v>91</v>
      </c>
      <c r="B42" s="112"/>
      <c r="C42" s="92">
        <f>C7+C13+C19+C25+C31+C37</f>
        <v>0</v>
      </c>
      <c r="D42" s="92">
        <f t="shared" ref="D42:G42" si="18">D7+D13+D19+D25+D31+D37</f>
        <v>0</v>
      </c>
      <c r="E42" s="92">
        <f t="shared" si="18"/>
        <v>0</v>
      </c>
      <c r="F42" s="92">
        <f t="shared" si="18"/>
        <v>0</v>
      </c>
      <c r="G42" s="92">
        <f t="shared" si="18"/>
        <v>0</v>
      </c>
      <c r="H42" s="92">
        <f>SUM(C42:G42)</f>
        <v>0</v>
      </c>
    </row>
  </sheetData>
  <mergeCells count="6">
    <mergeCell ref="A7:B7"/>
    <mergeCell ref="A13:B13"/>
    <mergeCell ref="A37:B37"/>
    <mergeCell ref="A19:B19"/>
    <mergeCell ref="A25:B25"/>
    <mergeCell ref="A31:B31"/>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4EF8DAF3FC7D408684D69F47BB1C29" ma:contentTypeVersion="12" ma:contentTypeDescription="Create a new document." ma:contentTypeScope="" ma:versionID="05f28319661c6fb2065937a559ea010e">
  <xsd:schema xmlns:xsd="http://www.w3.org/2001/XMLSchema" xmlns:xs="http://www.w3.org/2001/XMLSchema" xmlns:p="http://schemas.microsoft.com/office/2006/metadata/properties" xmlns:ns3="18feedc9-e83a-4790-8a1f-3adae29763dd" xmlns:ns4="62b1ea0d-e886-4900-9db2-6ce56686168b" targetNamespace="http://schemas.microsoft.com/office/2006/metadata/properties" ma:root="true" ma:fieldsID="69f88f00fb2a590bf216e7e532279a29" ns3:_="" ns4:_="">
    <xsd:import namespace="18feedc9-e83a-4790-8a1f-3adae29763dd"/>
    <xsd:import namespace="62b1ea0d-e886-4900-9db2-6ce56686168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feedc9-e83a-4790-8a1f-3adae29763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b1ea0d-e886-4900-9db2-6ce56686168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3D2F19-F1C1-4DA5-8CF2-FDC87BE6931F}">
  <ds:schemaRefs>
    <ds:schemaRef ds:uri="http://schemas.microsoft.com/sharepoint/v3/contenttype/forms"/>
  </ds:schemaRefs>
</ds:datastoreItem>
</file>

<file path=customXml/itemProps2.xml><?xml version="1.0" encoding="utf-8"?>
<ds:datastoreItem xmlns:ds="http://schemas.openxmlformats.org/officeDocument/2006/customXml" ds:itemID="{EADDDED9-7178-4A43-9E31-2235087776CE}">
  <ds:schemaRefs>
    <ds:schemaRef ds:uri="http://purl.org/dc/elements/1.1/"/>
    <ds:schemaRef ds:uri="http://schemas.microsoft.com/office/2006/documentManagement/types"/>
    <ds:schemaRef ds:uri="62b1ea0d-e886-4900-9db2-6ce56686168b"/>
    <ds:schemaRef ds:uri="18feedc9-e83a-4790-8a1f-3adae29763dd"/>
    <ds:schemaRef ds:uri="http://purl.org/dc/terms/"/>
    <ds:schemaRef ds:uri="http://schemas.openxmlformats.org/package/2006/metadata/core-properties"/>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A114FC5-7B6A-4806-B606-90ADA7EC6C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feedc9-e83a-4790-8a1f-3adae29763dd"/>
    <ds:schemaRef ds:uri="62b1ea0d-e886-4900-9db2-6ce5668616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GUIDELINES</vt:lpstr>
      <vt:lpstr>BUDGET</vt:lpstr>
      <vt:lpstr>SALARY</vt:lpstr>
      <vt:lpstr>EQUIPMENT </vt:lpstr>
      <vt:lpstr>SUPPLY </vt:lpstr>
      <vt:lpstr>PATIENT CARE</vt:lpstr>
      <vt:lpstr>SUB-AWARD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PHS 398 (Rev. 01/18), OMB No. 0925-0001, Form Page 4</dc:title>
  <dc:subject>DHHS, Public Health Service Grant Application</dc:subject>
  <dc:creator>Office of Extramural Programs</dc:creator>
  <cp:keywords>"PHS Grant Application, PHS 398 (Rev. 01/18), Form Page 4"</cp:keywords>
  <cp:lastModifiedBy>Lyons, Tamaira</cp:lastModifiedBy>
  <cp:lastPrinted>2018-08-07T20:41:35Z</cp:lastPrinted>
  <dcterms:created xsi:type="dcterms:W3CDTF">2018-08-07T19:50:30Z</dcterms:created>
  <dcterms:modified xsi:type="dcterms:W3CDTF">2023-04-16T19:54:56Z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0x010100C04EF8DAF3FC7D408684D69F47BB1C29</vt:lpwstr>
  </property>
</Properties>
</file>